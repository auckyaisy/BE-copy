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Garpit\Kerja\Kerja Beneran\Zona 11 DB LPO\Zona 11\Kajian Analisis Data LPO dan Digitalisasi\ZONA 11 (ESP)\Data Sumur Field SKW\"/>
    </mc:Choice>
  </mc:AlternateContent>
  <xr:revisionPtr revIDLastSave="0" documentId="13_ncr:1_{BE04C6B4-BCA3-4872-8E59-068D8FE4B8BF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Sheet1" sheetId="1" r:id="rId1"/>
    <sheet name="Sheet6" sheetId="6" r:id="rId2"/>
    <sheet name="Sheet3" sheetId="3" r:id="rId3"/>
    <sheet name="Sheet4" sheetId="4" r:id="rId4"/>
    <sheet name="Sheet2" sheetId="2" r:id="rId5"/>
    <sheet name="Sheet5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<sst xmlns="http://schemas.openxmlformats.org/spreadsheetml/2006/main" count="285" uniqueCount="91">
  <si>
    <t>Well Name</t>
  </si>
  <si>
    <t>SKW-02</t>
  </si>
  <si>
    <t>SKW-05</t>
  </si>
  <si>
    <t>SKW-07</t>
  </si>
  <si>
    <t>SKW-12</t>
  </si>
  <si>
    <t>SKW-14</t>
  </si>
  <si>
    <t>SKW-15</t>
  </si>
  <si>
    <t>SKW-18</t>
  </si>
  <si>
    <t>SKW-29</t>
  </si>
  <si>
    <t>SKW-30</t>
  </si>
  <si>
    <t>SKW-33</t>
  </si>
  <si>
    <t>SKW-35</t>
  </si>
  <si>
    <t>SKW-36</t>
  </si>
  <si>
    <t>Start Date</t>
  </si>
  <si>
    <t>End Date</t>
  </si>
  <si>
    <t>Comment</t>
  </si>
  <si>
    <t>No Discharge Pressure</t>
  </si>
  <si>
    <t>Production Data Related</t>
  </si>
  <si>
    <t>No Issue</t>
  </si>
  <si>
    <t>30 Dec 2024 - 6 Jan 2025, EDP</t>
  </si>
  <si>
    <t>No</t>
  </si>
  <si>
    <t>Yes</t>
  </si>
  <si>
    <t>20 Feb 2025 - 1 Mar 2025, EDP</t>
  </si>
  <si>
    <t>29 Sep 2024 - 13 Oct 2024, EDP</t>
  </si>
  <si>
    <t>8 Jun 2025 - 24 Jun 2025, EDP</t>
  </si>
  <si>
    <t>30 Aug 2024 - 28 Sep 2024, EDP</t>
  </si>
  <si>
    <t>16 Jan 2025 - 19 Feb 2025 , EDP</t>
  </si>
  <si>
    <t>21 Jan 2025 - Now(?), Suspected EDP</t>
  </si>
  <si>
    <t>Data Avail?</t>
  </si>
  <si>
    <t>8 Aug 2024 - 17 Aug 2024, Low PI</t>
  </si>
  <si>
    <t>31 Jan 2025 - 3 Feb 2025, Gassy</t>
  </si>
  <si>
    <t>8 Feb 2025 - 1 Mar 2025, Gassy</t>
  </si>
  <si>
    <t>13 Mar 2025, Gassy</t>
  </si>
  <si>
    <t>19 Mar 2025, Suspected EDP</t>
  </si>
  <si>
    <t>2 Jul 2024 - 18 Jul 2024, EDP</t>
  </si>
  <si>
    <t>17 May 2025 - 3 Jun 2025, EDP</t>
  </si>
  <si>
    <t>31 Dec 2024 - 13 Jan 2025, EDP</t>
  </si>
  <si>
    <t>26 Mar 2025 - 6 Apr 2025, Watercut</t>
  </si>
  <si>
    <t>16 Apr 2025 - 29 Apr 2025, Watercut</t>
  </si>
  <si>
    <t>10 May 2025 - Now(?), Watercut</t>
  </si>
  <si>
    <t>30 Mar 2025 - 10 Apr 2025, Low PI</t>
  </si>
  <si>
    <t>14 Apr 2025 - 17 Apr 2025, Low PI</t>
  </si>
  <si>
    <t>8 Jul 2025 - Now(?), Low PI</t>
  </si>
  <si>
    <t>1 Jul 2024 - 6 Nov 2024, EDP</t>
  </si>
  <si>
    <t>3 Apr 2025 - 26 May 2025, EDP</t>
  </si>
  <si>
    <t>16 Jun 2025 - Now(?), EDP</t>
  </si>
  <si>
    <t>Location</t>
  </si>
  <si>
    <t>Reading Time</t>
  </si>
  <si>
    <t>Average Amps (A) (Raw)</t>
  </si>
  <si>
    <t>Drive Frequency (Hz) (Raw)</t>
  </si>
  <si>
    <t>Intake Pressure (psi) (Raw)</t>
  </si>
  <si>
    <t>Discharge Pressure (psi) (Raw)</t>
  </si>
  <si>
    <t>Intake Temperature (F) (Raw)</t>
  </si>
  <si>
    <t>Motor Temperature (F) (Raw)</t>
  </si>
  <si>
    <t>Vibration (gravit) (Raw)</t>
  </si>
  <si>
    <t>From Prod Data, No Issue</t>
  </si>
  <si>
    <t>Date</t>
  </si>
  <si>
    <t>Gross</t>
  </si>
  <si>
    <t>Nett</t>
  </si>
  <si>
    <t>KA</t>
  </si>
  <si>
    <t>Gross/Target</t>
  </si>
  <si>
    <t>Data Sensor</t>
  </si>
  <si>
    <t>%</t>
  </si>
  <si>
    <t xml:space="preserve">Pi </t>
  </si>
  <si>
    <t>Pd</t>
  </si>
  <si>
    <t>Freq</t>
  </si>
  <si>
    <t>Current</t>
  </si>
  <si>
    <t>Tm</t>
  </si>
  <si>
    <t>Ti</t>
  </si>
  <si>
    <t>Voltage</t>
  </si>
  <si>
    <t>BFPD</t>
  </si>
  <si>
    <t>BOPD</t>
  </si>
  <si>
    <t>psig</t>
  </si>
  <si>
    <t>Hz</t>
  </si>
  <si>
    <t xml:space="preserve">A </t>
  </si>
  <si>
    <t>°F</t>
  </si>
  <si>
    <t xml:space="preserve">V </t>
  </si>
  <si>
    <t>-</t>
  </si>
  <si>
    <t>Unnamed: 0</t>
  </si>
  <si>
    <t>Discharge Pressure (psi)</t>
  </si>
  <si>
    <t>Intake Pressure (psi)</t>
  </si>
  <si>
    <t>Motor Temperature (F)</t>
  </si>
  <si>
    <t>Intake Temperature (F)</t>
  </si>
  <si>
    <t>Average Amps (A)</t>
  </si>
  <si>
    <t>Vibration (gravit)</t>
  </si>
  <si>
    <t>SKW Field</t>
  </si>
  <si>
    <t>MAE</t>
  </si>
  <si>
    <t>MSE</t>
  </si>
  <si>
    <t>RMSE</t>
  </si>
  <si>
    <t>R2</t>
  </si>
  <si>
    <t>Data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</si>
</sst>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_-;\-* #,##0.0_-;_-* &quot;-&quot;_-;_-@"/>
    <numFmt numFmtId="165" formatCode="_(* #,##0_);_(* \(#,##0\);_(* &quot;-&quot;??_);_(@_)"/>
    <numFmt numFmtId="166" formatCode="0.0%"/>
    <numFmt numFmtId="167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 Narrow"/>
      <family val="2"/>
    </font>
    <font>
      <sz val="11"/>
      <name val="Calibri"/>
      <family val="2"/>
    </font>
    <font>
      <sz val="12"/>
      <color theme="1"/>
      <name val="Arial Narrow"/>
      <family val="2"/>
    </font>
    <font>
      <sz val="12"/>
      <color rgb="FF000000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vertical="center"/>
    </xf>
    <xf numFmtId="22" fontId="0" fillId="3" borderId="1" xfId="0" applyNumberFormat="1" applyFill="1" applyBorder="1" applyAlignment="1">
      <alignment vertical="center"/>
    </xf>
    <xf numFmtId="0" fontId="0" fillId="0" borderId="0" xfId="0" applyAlignment="1">
      <alignment wrapText="1"/>
    </xf>
    <xf numFmtId="0" fontId="0" fillId="0" borderId="1" xfId="0" applyBorder="1"/>
    <xf numFmtId="22" fontId="0" fillId="0" borderId="1" xfId="0" applyNumberFormat="1" applyBorder="1"/>
    <xf numFmtId="0" fontId="0" fillId="0" borderId="1" xfId="0" applyBorder="1" applyAlignment="1">
      <alignment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1" fillId="0" borderId="1" xfId="0" applyFont="1" applyBorder="1" applyAlignment="1">
      <alignment horizontal="left" vertical="center"/>
    </xf>
    <xf numFmtId="22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15" fontId="1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22" fontId="1" fillId="3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2" fontId="4" fillId="0" borderId="5" xfId="0" applyNumberFormat="1" applyFont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166" fontId="5" fillId="5" borderId="1" xfId="0" applyNumberFormat="1" applyFont="1" applyFill="1" applyBorder="1" applyAlignment="1">
      <alignment horizontal="center" vertical="center"/>
    </xf>
    <xf numFmtId="164" fontId="2" fillId="4" borderId="7" xfId="0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16" fontId="4" fillId="0" borderId="9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6" fontId="4" fillId="0" borderId="11" xfId="0" applyNumberFormat="1" applyFont="1" applyBorder="1" applyAlignment="1">
      <alignment horizontal="center" vertical="center"/>
    </xf>
    <xf numFmtId="165" fontId="4" fillId="0" borderId="12" xfId="0" applyNumberFormat="1" applyFont="1" applyBorder="1" applyAlignment="1">
      <alignment horizontal="center" vertical="center"/>
    </xf>
    <xf numFmtId="1" fontId="4" fillId="0" borderId="12" xfId="0" applyNumberFormat="1" applyFont="1" applyBorder="1" applyAlignment="1">
      <alignment horizontal="center" vertical="center"/>
    </xf>
    <xf numFmtId="166" fontId="5" fillId="5" borderId="12" xfId="0" applyNumberFormat="1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2" xfId="0" quotePrefix="1" applyFont="1" applyBorder="1" applyAlignment="1">
      <alignment horizontal="center" vertical="center"/>
    </xf>
    <xf numFmtId="167" fontId="4" fillId="0" borderId="12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" fontId="4" fillId="0" borderId="14" xfId="0" applyNumberFormat="1" applyFont="1" applyBorder="1" applyAlignment="1">
      <alignment horizontal="center" vertical="center"/>
    </xf>
    <xf numFmtId="165" fontId="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0" quotePrefix="1" applyFont="1" applyBorder="1" applyAlignment="1">
      <alignment horizontal="center" vertical="center"/>
    </xf>
    <xf numFmtId="167" fontId="4" fillId="0" borderId="3" xfId="0" applyNumberFormat="1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3" fontId="2" fillId="4" borderId="12" xfId="0" applyNumberFormat="1" applyFont="1" applyFill="1" applyBorder="1" applyAlignment="1">
      <alignment horizontal="center" vertical="center"/>
    </xf>
    <xf numFmtId="1" fontId="2" fillId="4" borderId="12" xfId="0" applyNumberFormat="1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166" fontId="5" fillId="5" borderId="3" xfId="0" applyNumberFormat="1" applyFont="1" applyFill="1" applyBorder="1" applyAlignment="1">
      <alignment horizontal="center" vertical="center"/>
    </xf>
    <xf numFmtId="0" fontId="1" fillId="0" borderId="1" xfId="0" applyFont="1" applyBorder="1"/>
    <xf numFmtId="0" fontId="0" fillId="2" borderId="1" xfId="0" applyFill="1" applyBorder="1"/>
    <xf numFmtId="0" fontId="1" fillId="2" borderId="1" xfId="0" applyFont="1" applyFill="1" applyBorder="1" applyAlignment="1">
      <alignment horizontal="left" vertical="center"/>
    </xf>
    <xf numFmtId="22" fontId="1" fillId="3" borderId="1" xfId="0" applyNumberFormat="1" applyFont="1" applyFill="1" applyBorder="1" applyAlignment="1">
      <alignment horizontal="left" vertical="center"/>
    </xf>
    <xf numFmtId="22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22" fontId="0" fillId="3" borderId="2" xfId="0" applyNumberFormat="1" applyFill="1" applyBorder="1" applyAlignment="1">
      <alignment horizontal="left" vertical="center"/>
    </xf>
    <xf numFmtId="22" fontId="0" fillId="3" borderId="3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22" fontId="0" fillId="0" borderId="1" xfId="0" applyNumberFormat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22" fontId="1" fillId="0" borderId="2" xfId="0" applyNumberFormat="1" applyFont="1" applyBorder="1" applyAlignment="1">
      <alignment horizontal="left" vertical="center"/>
    </xf>
    <xf numFmtId="22" fontId="1" fillId="0" borderId="4" xfId="0" applyNumberFormat="1" applyFont="1" applyBorder="1" applyAlignment="1">
      <alignment horizontal="left" vertical="center"/>
    </xf>
    <xf numFmtId="22" fontId="1" fillId="0" borderId="3" xfId="0" applyNumberFormat="1" applyFont="1" applyBorder="1" applyAlignment="1">
      <alignment horizontal="left" vertical="center"/>
    </xf>
    <xf numFmtId="22" fontId="0" fillId="3" borderId="1" xfId="0" applyNumberFormat="1" applyFill="1" applyBorder="1" applyAlignment="1">
      <alignment horizontal="left" vertical="center"/>
    </xf>
    <xf numFmtId="0" fontId="2" fillId="4" borderId="6" xfId="0" applyFont="1" applyFill="1" applyBorder="1" applyAlignment="1">
      <alignment horizontal="center" vertical="center"/>
    </xf>
    <xf numFmtId="0" fontId="3" fillId="0" borderId="9" xfId="0" applyFont="1" applyBorder="1"/>
    <xf numFmtId="0" fontId="3" fillId="0" borderId="11" xfId="0" applyFont="1" applyBorder="1"/>
    <xf numFmtId="3" fontId="2" fillId="4" borderId="7" xfId="0" applyNumberFormat="1" applyFont="1" applyFill="1" applyBorder="1" applyAlignment="1">
      <alignment horizontal="center" vertical="center"/>
    </xf>
    <xf numFmtId="0" fontId="3" fillId="0" borderId="1" xfId="0" applyFont="1" applyBorder="1"/>
    <xf numFmtId="0" fontId="2" fillId="4" borderId="7" xfId="0" applyFont="1" applyFill="1" applyBorder="1" applyAlignment="1">
      <alignment horizontal="center" vertical="center"/>
    </xf>
    <xf numFmtId="0" fontId="3" fillId="0" borderId="7" xfId="0" applyFont="1" applyBorder="1"/>
    <xf numFmtId="0" fontId="3" fillId="0" borderId="8" xfId="0" applyFont="1" applyBorder="1"/>
    <xf numFmtId="164" fontId="2" fillId="4" borderId="1" xfId="0" applyNumberFormat="1" applyFont="1" applyFill="1" applyBorder="1" applyAlignment="1">
      <alignment horizontal="center" vertical="center"/>
    </xf>
    <xf numFmtId="0" fontId="3" fillId="0" borderId="12" xfId="0" applyFont="1" applyBorder="1"/>
    <xf numFmtId="22" fontId="1" fillId="3" borderId="1" xfId="0" applyNumberFormat="1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22" fontId="1" fillId="0" borderId="1" xfId="0" applyNumberFormat="1" applyFont="1" applyBorder="1" applyAlignment="1">
      <alignment vertical="center"/>
    </xf>
    <xf numFmtId="22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22" fontId="1" fillId="0" borderId="2" xfId="0" applyNumberFormat="1" applyFont="1" applyBorder="1" applyAlignment="1">
      <alignment vertical="center"/>
    </xf>
    <xf numFmtId="22" fontId="1" fillId="0" borderId="4" xfId="0" applyNumberFormat="1" applyFont="1" applyBorder="1" applyAlignment="1">
      <alignment vertical="center"/>
    </xf>
    <xf numFmtId="22" fontId="1" fillId="0" borderId="3" xfId="0" applyNumberFormat="1" applyFont="1" applyBorder="1" applyAlignment="1">
      <alignment vertical="center"/>
    </xf>
    <xf numFmtId="22" fontId="0" fillId="3" borderId="2" xfId="0" applyNumberFormat="1" applyFill="1" applyBorder="1" applyAlignment="1">
      <alignment vertical="center"/>
    </xf>
    <xf numFmtId="22" fontId="0" fillId="3" borderId="3" xfId="0" applyNumberFormat="1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22" fontId="0" fillId="0" borderId="1" xfId="0" applyNumberFormat="1" applyFill="1" applyBorder="1" applyAlignment="1">
      <alignment vertical="center"/>
    </xf>
    <xf numFmtId="0" fontId="0" fillId="0" borderId="1" xfId="0" applyFont="1" applyBorder="1" applyAlignment="1">
      <alignment horizontal="left" vertical="center"/>
    </xf>
    <xf numFmtId="22" fontId="0" fillId="0" borderId="1" xfId="0" applyNumberFormat="1" applyFont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22" fontId="0" fillId="0" borderId="1" xfId="0" applyNumberFormat="1" applyFont="1" applyFill="1" applyBorder="1" applyAlignment="1">
      <alignment vertical="center"/>
    </xf>
    <xf numFmtId="0" fontId="0" fillId="0" borderId="1" xfId="0" applyFont="1" applyBorder="1" applyAlignment="1">
      <alignment vertical="center"/>
    </xf>
    <xf numFmtId="22" fontId="0" fillId="0" borderId="1" xfId="0" applyNumberFormat="1" applyFont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  <xf numFmtId="22" fontId="0" fillId="0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3</xdr:row>
      <xdr:rowOff>0</xdr:rowOff>
    </xdr:from>
    <xdr:to>
      <xdr:col>15</xdr:col>
      <xdr:colOff>352425</xdr:colOff>
      <xdr:row>6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55BF3C-CD40-1172-5E5B-A9FAA0C90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571500"/>
          <a:ext cx="2790825" cy="58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15</xdr:col>
      <xdr:colOff>352425</xdr:colOff>
      <xdr:row>11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5A57BB9-A0B6-470D-E9C9-CCAFC0B86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1524000"/>
          <a:ext cx="2790825" cy="58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</xdr:row>
      <xdr:rowOff>0</xdr:rowOff>
    </xdr:from>
    <xdr:to>
      <xdr:col>15</xdr:col>
      <xdr:colOff>352425</xdr:colOff>
      <xdr:row>15</xdr:row>
      <xdr:rowOff>9525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ECB73D1-AA9C-8EB9-D081-6BDB31C64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2286000"/>
          <a:ext cx="2790825" cy="58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</xdr:row>
      <xdr:rowOff>0</xdr:rowOff>
    </xdr:from>
    <xdr:to>
      <xdr:col>15</xdr:col>
      <xdr:colOff>352425</xdr:colOff>
      <xdr:row>19</xdr:row>
      <xdr:rowOff>9525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1601E78-A7F9-B07F-ACBA-7CB188EBD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3048000"/>
          <a:ext cx="2790825" cy="58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15</xdr:col>
      <xdr:colOff>352425</xdr:colOff>
      <xdr:row>27</xdr:row>
      <xdr:rowOff>9525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7CDE98B-7FF6-FE16-2E28-8B75A0732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4572000"/>
          <a:ext cx="2790825" cy="58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</xdr:row>
      <xdr:rowOff>0</xdr:rowOff>
    </xdr:from>
    <xdr:to>
      <xdr:col>15</xdr:col>
      <xdr:colOff>352425</xdr:colOff>
      <xdr:row>32</xdr:row>
      <xdr:rowOff>9525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E42858-2DE4-0EF0-0BA2-A82291FE6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5524500"/>
          <a:ext cx="2790825" cy="58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</xdr:row>
      <xdr:rowOff>0</xdr:rowOff>
    </xdr:from>
    <xdr:to>
      <xdr:col>15</xdr:col>
      <xdr:colOff>352425</xdr:colOff>
      <xdr:row>36</xdr:row>
      <xdr:rowOff>9525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C2E1801-A62A-20FB-D864-4C8FD5B2D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6286500"/>
          <a:ext cx="2790825" cy="58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37</xdr:row>
      <xdr:rowOff>0</xdr:rowOff>
    </xdr:from>
    <xdr:to>
      <xdr:col>15</xdr:col>
      <xdr:colOff>352425</xdr:colOff>
      <xdr:row>40</xdr:row>
      <xdr:rowOff>9525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2968004-C6EB-64A1-D173-FCBA7B194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7048500"/>
          <a:ext cx="2790825" cy="58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41</xdr:row>
      <xdr:rowOff>0</xdr:rowOff>
    </xdr:from>
    <xdr:to>
      <xdr:col>15</xdr:col>
      <xdr:colOff>352425</xdr:colOff>
      <xdr:row>44</xdr:row>
      <xdr:rowOff>9525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9F4E86C-BD0B-2718-9E6B-3D3B02CA3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7810500"/>
          <a:ext cx="2790825" cy="58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G30"/>
  <sheetViews>
    <sheetView topLeftCell="A12" zoomScale="105" workbookViewId="0">
      <selection activeCell="B29" sqref="B29:D30"/>
    </sheetView>
  </sheetViews>
  <sheetFormatPr defaultRowHeight="15" x14ac:dyDescent="0.25"/>
  <cols>
    <col min="2" max="2" width="10.85546875" bestFit="1" customWidth="1"/>
    <col min="3" max="3" width="15.85546875" bestFit="1" customWidth="1"/>
    <col min="4" max="4" width="16" customWidth="1"/>
    <col min="5" max="5" width="21" bestFit="1" customWidth="1"/>
    <col min="6" max="6" width="33.5703125" bestFit="1" customWidth="1"/>
    <col min="7" max="7" width="14.85546875" bestFit="1" customWidth="1"/>
  </cols>
  <sheetData>
    <row r="3" spans="2:7" x14ac:dyDescent="0.25">
      <c r="B3" s="69" t="s">
        <v>0</v>
      </c>
      <c r="C3" s="61" t="s">
        <v>90</v>
      </c>
      <c r="D3" s="61"/>
      <c r="E3" s="56" t="s">
        <v>15</v>
      </c>
      <c r="F3" s="56" t="s">
        <v>17</v>
      </c>
      <c r="G3" s="56" t="s">
        <v>28</v>
      </c>
    </row>
    <row r="4" spans="2:7" x14ac:dyDescent="0.25">
      <c r="B4" s="70"/>
      <c r="C4" s="2" t="s">
        <v>13</v>
      </c>
      <c r="D4" s="2" t="s">
        <v>14</v>
      </c>
      <c r="E4" s="56"/>
      <c r="F4" s="56"/>
      <c r="G4" s="56"/>
    </row>
    <row r="5" spans="2:7" x14ac:dyDescent="0.25">
      <c r="B5" s="13" t="s">
        <v>1</v>
      </c>
      <c r="C5" s="14">
        <v>45731.701261574075</v>
      </c>
      <c r="D5" s="14">
        <v>45867.708333333336</v>
      </c>
      <c r="E5" s="13"/>
      <c r="F5" s="13" t="s">
        <v>18</v>
      </c>
      <c r="G5" s="13" t="s">
        <v>21</v>
      </c>
    </row>
    <row r="6" spans="2:7" x14ac:dyDescent="0.25">
      <c r="B6" s="68" t="s">
        <v>2</v>
      </c>
      <c r="C6" s="57">
        <v>45699.636956018519</v>
      </c>
      <c r="D6" s="57">
        <v>45869.916666666664</v>
      </c>
      <c r="E6" s="60"/>
      <c r="F6" s="4" t="s">
        <v>25</v>
      </c>
      <c r="G6" s="4" t="s">
        <v>20</v>
      </c>
    </row>
    <row r="7" spans="2:7" x14ac:dyDescent="0.25">
      <c r="B7" s="68"/>
      <c r="C7" s="57"/>
      <c r="D7" s="57"/>
      <c r="E7" s="60"/>
      <c r="F7" s="4" t="s">
        <v>26</v>
      </c>
      <c r="G7" s="4" t="s">
        <v>20</v>
      </c>
    </row>
    <row r="8" spans="2:7" x14ac:dyDescent="0.25">
      <c r="B8" s="68"/>
      <c r="C8" s="57"/>
      <c r="D8" s="57"/>
      <c r="E8" s="60"/>
      <c r="F8" s="16" t="s">
        <v>27</v>
      </c>
      <c r="G8" s="17" t="s">
        <v>21</v>
      </c>
    </row>
    <row r="9" spans="2:7" x14ac:dyDescent="0.25">
      <c r="B9" s="59" t="s">
        <v>3</v>
      </c>
      <c r="C9" s="58">
        <v>45624.678877314815</v>
      </c>
      <c r="D9" s="58">
        <v>45870</v>
      </c>
      <c r="E9" s="59"/>
      <c r="F9" s="15" t="s">
        <v>19</v>
      </c>
      <c r="G9" s="13" t="s">
        <v>21</v>
      </c>
    </row>
    <row r="10" spans="2:7" x14ac:dyDescent="0.25">
      <c r="B10" s="59"/>
      <c r="C10" s="58"/>
      <c r="D10" s="58"/>
      <c r="E10" s="59"/>
      <c r="F10" s="13" t="s">
        <v>22</v>
      </c>
      <c r="G10" s="13" t="s">
        <v>21</v>
      </c>
    </row>
    <row r="11" spans="2:7" x14ac:dyDescent="0.25">
      <c r="B11" s="5" t="s">
        <v>4</v>
      </c>
      <c r="C11" s="6">
        <v>45847.916666666664</v>
      </c>
      <c r="D11" s="6">
        <v>45870</v>
      </c>
      <c r="E11" s="5"/>
      <c r="F11" s="4" t="s">
        <v>45</v>
      </c>
      <c r="G11" s="4" t="s">
        <v>20</v>
      </c>
    </row>
    <row r="12" spans="2:7" x14ac:dyDescent="0.25">
      <c r="B12" s="66" t="s">
        <v>5</v>
      </c>
      <c r="C12" s="67">
        <v>45831.722222222219</v>
      </c>
      <c r="D12" s="67">
        <v>45870</v>
      </c>
      <c r="E12" s="66"/>
      <c r="F12" s="3" t="s">
        <v>23</v>
      </c>
      <c r="G12" s="1" t="s">
        <v>20</v>
      </c>
    </row>
    <row r="13" spans="2:7" x14ac:dyDescent="0.25">
      <c r="B13" s="66"/>
      <c r="C13" s="67"/>
      <c r="D13" s="67"/>
      <c r="E13" s="66"/>
      <c r="F13" s="1" t="s">
        <v>24</v>
      </c>
      <c r="G13" s="1" t="s">
        <v>20</v>
      </c>
    </row>
    <row r="14" spans="2:7" x14ac:dyDescent="0.25">
      <c r="B14" s="60" t="s">
        <v>6</v>
      </c>
      <c r="C14" s="77">
        <v>45865.630937499998</v>
      </c>
      <c r="D14" s="77">
        <v>45870</v>
      </c>
      <c r="E14" s="60"/>
      <c r="F14" s="4" t="s">
        <v>29</v>
      </c>
      <c r="G14" s="4" t="s">
        <v>20</v>
      </c>
    </row>
    <row r="15" spans="2:7" x14ac:dyDescent="0.25">
      <c r="B15" s="60"/>
      <c r="C15" s="77"/>
      <c r="D15" s="77"/>
      <c r="E15" s="60"/>
      <c r="F15" s="4" t="s">
        <v>30</v>
      </c>
      <c r="G15" s="4" t="s">
        <v>20</v>
      </c>
    </row>
    <row r="16" spans="2:7" x14ac:dyDescent="0.25">
      <c r="B16" s="60"/>
      <c r="C16" s="77"/>
      <c r="D16" s="77"/>
      <c r="E16" s="60"/>
      <c r="F16" s="4" t="s">
        <v>31</v>
      </c>
      <c r="G16" s="4" t="s">
        <v>20</v>
      </c>
    </row>
    <row r="17" spans="2:7" x14ac:dyDescent="0.25">
      <c r="B17" s="60"/>
      <c r="C17" s="77"/>
      <c r="D17" s="77"/>
      <c r="E17" s="60"/>
      <c r="F17" s="4" t="s">
        <v>32</v>
      </c>
      <c r="G17" s="4" t="s">
        <v>20</v>
      </c>
    </row>
    <row r="18" spans="2:7" x14ac:dyDescent="0.25">
      <c r="B18" s="60"/>
      <c r="C18" s="77"/>
      <c r="D18" s="77"/>
      <c r="E18" s="60"/>
      <c r="F18" s="4" t="s">
        <v>33</v>
      </c>
      <c r="G18" s="4" t="s">
        <v>20</v>
      </c>
    </row>
    <row r="19" spans="2:7" x14ac:dyDescent="0.25">
      <c r="B19" s="66" t="s">
        <v>7</v>
      </c>
      <c r="C19" s="67">
        <v>45812.509884259256</v>
      </c>
      <c r="D19" s="67">
        <v>45870</v>
      </c>
      <c r="E19" s="66"/>
      <c r="F19" s="1" t="s">
        <v>34</v>
      </c>
      <c r="G19" s="1" t="s">
        <v>20</v>
      </c>
    </row>
    <row r="20" spans="2:7" x14ac:dyDescent="0.25">
      <c r="B20" s="66"/>
      <c r="C20" s="67"/>
      <c r="D20" s="67"/>
      <c r="E20" s="66"/>
      <c r="F20" s="1" t="s">
        <v>35</v>
      </c>
      <c r="G20" s="1" t="s">
        <v>20</v>
      </c>
    </row>
    <row r="21" spans="2:7" x14ac:dyDescent="0.25">
      <c r="B21" s="17" t="s">
        <v>8</v>
      </c>
      <c r="C21" s="18">
        <v>45618.770833333336</v>
      </c>
      <c r="D21" s="18">
        <v>45870</v>
      </c>
      <c r="E21" s="17"/>
      <c r="F21" s="17" t="s">
        <v>36</v>
      </c>
      <c r="G21" s="17" t="s">
        <v>21</v>
      </c>
    </row>
    <row r="22" spans="2:7" x14ac:dyDescent="0.25">
      <c r="B22" s="13" t="s">
        <v>9</v>
      </c>
      <c r="C22" s="14">
        <v>45834.569444444445</v>
      </c>
      <c r="D22" s="14">
        <v>45870</v>
      </c>
      <c r="E22" s="13"/>
      <c r="F22" s="13" t="s">
        <v>55</v>
      </c>
      <c r="G22" s="13" t="s">
        <v>21</v>
      </c>
    </row>
    <row r="23" spans="2:7" x14ac:dyDescent="0.25">
      <c r="B23" s="68" t="s">
        <v>10</v>
      </c>
      <c r="C23" s="57">
        <v>45719.727256944447</v>
      </c>
      <c r="D23" s="57">
        <v>45805.541666666664</v>
      </c>
      <c r="E23" s="68" t="s">
        <v>16</v>
      </c>
      <c r="F23" s="17" t="s">
        <v>37</v>
      </c>
      <c r="G23" s="17" t="s">
        <v>21</v>
      </c>
    </row>
    <row r="24" spans="2:7" x14ac:dyDescent="0.25">
      <c r="B24" s="68"/>
      <c r="C24" s="57"/>
      <c r="D24" s="57"/>
      <c r="E24" s="68"/>
      <c r="F24" s="17" t="s">
        <v>38</v>
      </c>
      <c r="G24" s="17" t="s">
        <v>21</v>
      </c>
    </row>
    <row r="25" spans="2:7" x14ac:dyDescent="0.25">
      <c r="B25" s="68"/>
      <c r="C25" s="57"/>
      <c r="D25" s="57"/>
      <c r="E25" s="68"/>
      <c r="F25" s="17" t="s">
        <v>39</v>
      </c>
      <c r="G25" s="17" t="s">
        <v>21</v>
      </c>
    </row>
    <row r="26" spans="2:7" x14ac:dyDescent="0.25">
      <c r="B26" s="71" t="s">
        <v>11</v>
      </c>
      <c r="C26" s="74">
        <v>45689.430555555555</v>
      </c>
      <c r="D26" s="74">
        <v>45870</v>
      </c>
      <c r="E26" s="71" t="s">
        <v>16</v>
      </c>
      <c r="F26" s="13" t="s">
        <v>40</v>
      </c>
      <c r="G26" s="13" t="s">
        <v>21</v>
      </c>
    </row>
    <row r="27" spans="2:7" x14ac:dyDescent="0.25">
      <c r="B27" s="72"/>
      <c r="C27" s="75"/>
      <c r="D27" s="75"/>
      <c r="E27" s="72"/>
      <c r="F27" s="13" t="s">
        <v>41</v>
      </c>
      <c r="G27" s="13" t="s">
        <v>21</v>
      </c>
    </row>
    <row r="28" spans="2:7" x14ac:dyDescent="0.25">
      <c r="B28" s="73"/>
      <c r="C28" s="76"/>
      <c r="D28" s="76"/>
      <c r="E28" s="73"/>
      <c r="F28" s="13" t="s">
        <v>42</v>
      </c>
      <c r="G28" s="13" t="s">
        <v>21</v>
      </c>
    </row>
    <row r="29" spans="2:7" x14ac:dyDescent="0.25">
      <c r="B29" s="62" t="s">
        <v>12</v>
      </c>
      <c r="C29" s="64">
        <v>45801.738935185182</v>
      </c>
      <c r="D29" s="64">
        <v>45870</v>
      </c>
      <c r="E29" s="62"/>
      <c r="F29" s="4" t="s">
        <v>43</v>
      </c>
      <c r="G29" s="4" t="s">
        <v>20</v>
      </c>
    </row>
    <row r="30" spans="2:7" x14ac:dyDescent="0.25">
      <c r="B30" s="63"/>
      <c r="C30" s="65"/>
      <c r="D30" s="65"/>
      <c r="E30" s="63"/>
      <c r="F30" s="4" t="s">
        <v>44</v>
      </c>
      <c r="G30" s="4" t="s">
        <v>20</v>
      </c>
    </row>
  </sheetData>
  <mergeCells count="37">
    <mergeCell ref="B3:B4"/>
    <mergeCell ref="B26:B28"/>
    <mergeCell ref="C26:C28"/>
    <mergeCell ref="D26:D28"/>
    <mergeCell ref="E26:E28"/>
    <mergeCell ref="B6:B8"/>
    <mergeCell ref="D12:D13"/>
    <mergeCell ref="E12:E13"/>
    <mergeCell ref="C12:C13"/>
    <mergeCell ref="B12:B13"/>
    <mergeCell ref="B14:B18"/>
    <mergeCell ref="C14:C18"/>
    <mergeCell ref="D14:D18"/>
    <mergeCell ref="E14:E18"/>
    <mergeCell ref="B9:B10"/>
    <mergeCell ref="C9:C10"/>
    <mergeCell ref="E29:E30"/>
    <mergeCell ref="D29:D30"/>
    <mergeCell ref="C29:C30"/>
    <mergeCell ref="B29:B30"/>
    <mergeCell ref="E19:E20"/>
    <mergeCell ref="D19:D20"/>
    <mergeCell ref="C19:C20"/>
    <mergeCell ref="B19:B20"/>
    <mergeCell ref="B23:B25"/>
    <mergeCell ref="C23:C25"/>
    <mergeCell ref="D23:D25"/>
    <mergeCell ref="E23:E25"/>
    <mergeCell ref="G3:G4"/>
    <mergeCell ref="E3:E4"/>
    <mergeCell ref="D6:D8"/>
    <mergeCell ref="C6:C8"/>
    <mergeCell ref="D9:D10"/>
    <mergeCell ref="E9:E10"/>
    <mergeCell ref="E6:E8"/>
    <mergeCell ref="C3:D3"/>
    <mergeCell ref="F3:F4"/>
  </mergeCells>
  <conditionalFormatting sqref="G6:G3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{2039AC50-0F0A-492B-9CB2-F9CF787BD5AD}</x14:id>
        </ext>
      </extLst>
    </cfRule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039AC50-0F0A-492B-9CB2-F9CF787BD5A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G6:G30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43E31-75FA-422C-B7C3-C56E79548469}">
  <dimension ref="B2:L48"/>
  <sheetViews>
    <sheetView tabSelected="1" topLeftCell="A32" workbookViewId="0">
      <selection activeCell="M47" sqref="M47"/>
    </sheetView>
  </sheetViews>
  <sheetFormatPr defaultRowHeight="15" x14ac:dyDescent="0.25"/>
  <cols>
    <col min="2" max="2" width="11" bestFit="1" customWidth="1"/>
    <col min="3" max="3" width="15.85546875" bestFit="1" customWidth="1"/>
    <col min="4" max="4" width="14.85546875" bestFit="1" customWidth="1"/>
  </cols>
  <sheetData>
    <row r="2" spans="2:10" x14ac:dyDescent="0.25">
      <c r="B2" s="69" t="s">
        <v>0</v>
      </c>
      <c r="C2" s="61" t="s">
        <v>90</v>
      </c>
      <c r="D2" s="61"/>
    </row>
    <row r="3" spans="2:10" x14ac:dyDescent="0.25">
      <c r="B3" s="70"/>
      <c r="C3" s="2" t="s">
        <v>13</v>
      </c>
      <c r="D3" s="2" t="s">
        <v>14</v>
      </c>
    </row>
    <row r="4" spans="2:10" x14ac:dyDescent="0.25">
      <c r="B4" s="106" t="s">
        <v>1</v>
      </c>
      <c r="C4" s="107">
        <v>45731.701261574075</v>
      </c>
      <c r="D4" s="107">
        <v>45867.708333333336</v>
      </c>
    </row>
    <row r="6" spans="2:10" x14ac:dyDescent="0.25">
      <c r="B6" s="69" t="s">
        <v>0</v>
      </c>
      <c r="C6" s="61" t="s">
        <v>90</v>
      </c>
      <c r="D6" s="61"/>
    </row>
    <row r="7" spans="2:10" x14ac:dyDescent="0.25">
      <c r="B7" s="70"/>
      <c r="C7" s="2" t="s">
        <v>13</v>
      </c>
      <c r="D7" s="2" t="s">
        <v>14</v>
      </c>
      <c r="H7" s="93" t="s">
        <v>5</v>
      </c>
      <c r="I7" s="92">
        <v>45831.722222222219</v>
      </c>
      <c r="J7" s="92">
        <v>45870</v>
      </c>
    </row>
    <row r="8" spans="2:10" x14ac:dyDescent="0.25">
      <c r="B8" s="108" t="s">
        <v>2</v>
      </c>
      <c r="C8" s="109">
        <v>45699.636956018519</v>
      </c>
      <c r="D8" s="109">
        <v>45869.916666666664</v>
      </c>
      <c r="H8" s="93"/>
      <c r="I8" s="92"/>
      <c r="J8" s="92"/>
    </row>
    <row r="10" spans="2:10" x14ac:dyDescent="0.25">
      <c r="B10" s="69" t="s">
        <v>0</v>
      </c>
      <c r="C10" s="61" t="s">
        <v>90</v>
      </c>
      <c r="D10" s="61"/>
      <c r="F10" s="90"/>
      <c r="G10" s="91"/>
      <c r="H10" s="91"/>
    </row>
    <row r="11" spans="2:10" x14ac:dyDescent="0.25">
      <c r="B11" s="70"/>
      <c r="C11" s="2" t="s">
        <v>13</v>
      </c>
      <c r="D11" s="2" t="s">
        <v>14</v>
      </c>
      <c r="F11" s="90"/>
      <c r="G11" s="91"/>
      <c r="H11" s="91"/>
    </row>
    <row r="12" spans="2:10" x14ac:dyDescent="0.25">
      <c r="B12" s="110" t="s">
        <v>3</v>
      </c>
      <c r="C12" s="111">
        <v>45624.678877314815</v>
      </c>
      <c r="D12" s="111">
        <v>45870</v>
      </c>
    </row>
    <row r="14" spans="2:10" x14ac:dyDescent="0.25">
      <c r="B14" s="69" t="s">
        <v>0</v>
      </c>
      <c r="C14" s="61" t="s">
        <v>90</v>
      </c>
      <c r="D14" s="61"/>
    </row>
    <row r="15" spans="2:10" x14ac:dyDescent="0.25">
      <c r="B15" s="70"/>
      <c r="C15" s="2" t="s">
        <v>13</v>
      </c>
      <c r="D15" s="2" t="s">
        <v>14</v>
      </c>
    </row>
    <row r="16" spans="2:10" x14ac:dyDescent="0.25">
      <c r="B16" s="104" t="s">
        <v>4</v>
      </c>
      <c r="C16" s="105">
        <v>45847.916666666664</v>
      </c>
      <c r="D16" s="105">
        <v>45870</v>
      </c>
      <c r="F16" s="89"/>
      <c r="G16" s="88"/>
      <c r="H16" s="88"/>
    </row>
    <row r="17" spans="2:12" x14ac:dyDescent="0.25">
      <c r="F17" s="89"/>
      <c r="G17" s="88"/>
      <c r="H17" s="88"/>
    </row>
    <row r="18" spans="2:12" x14ac:dyDescent="0.25">
      <c r="B18" s="69" t="s">
        <v>0</v>
      </c>
      <c r="C18" s="61" t="s">
        <v>90</v>
      </c>
      <c r="D18" s="61"/>
      <c r="F18" s="89"/>
      <c r="G18" s="88"/>
      <c r="H18" s="88"/>
    </row>
    <row r="19" spans="2:12" x14ac:dyDescent="0.25">
      <c r="B19" s="70"/>
      <c r="C19" s="2" t="s">
        <v>13</v>
      </c>
      <c r="D19" s="2" t="s">
        <v>14</v>
      </c>
    </row>
    <row r="20" spans="2:12" x14ac:dyDescent="0.25">
      <c r="B20" s="93" t="s">
        <v>5</v>
      </c>
      <c r="C20" s="92">
        <v>45831.722222222219</v>
      </c>
      <c r="D20" s="92">
        <v>45870</v>
      </c>
      <c r="F20" s="5" t="s">
        <v>6</v>
      </c>
      <c r="G20" s="6">
        <v>45865.630937499998</v>
      </c>
      <c r="H20" s="6">
        <v>45870</v>
      </c>
    </row>
    <row r="21" spans="2:12" x14ac:dyDescent="0.25">
      <c r="F21" s="5"/>
      <c r="G21" s="6"/>
      <c r="H21" s="6"/>
    </row>
    <row r="22" spans="2:12" x14ac:dyDescent="0.25">
      <c r="B22" s="69" t="s">
        <v>0</v>
      </c>
      <c r="C22" s="61" t="s">
        <v>90</v>
      </c>
      <c r="D22" s="61"/>
      <c r="F22" s="5"/>
      <c r="G22" s="6"/>
      <c r="H22" s="6"/>
      <c r="J22" s="93" t="s">
        <v>7</v>
      </c>
      <c r="K22" s="92">
        <v>45812.509884259256</v>
      </c>
      <c r="L22" s="92">
        <v>45870</v>
      </c>
    </row>
    <row r="23" spans="2:12" x14ac:dyDescent="0.25">
      <c r="B23" s="70"/>
      <c r="C23" s="2" t="s">
        <v>13</v>
      </c>
      <c r="D23" s="2" t="s">
        <v>14</v>
      </c>
      <c r="F23" s="5"/>
      <c r="G23" s="6"/>
      <c r="H23" s="6"/>
      <c r="J23" s="93"/>
      <c r="K23" s="92"/>
      <c r="L23" s="92"/>
    </row>
    <row r="24" spans="2:12" x14ac:dyDescent="0.25">
      <c r="B24" s="104" t="s">
        <v>6</v>
      </c>
      <c r="C24" s="105">
        <v>45865.630937499998</v>
      </c>
      <c r="D24" s="105">
        <v>45870</v>
      </c>
      <c r="F24" s="5"/>
      <c r="G24" s="6"/>
      <c r="H24" s="6"/>
    </row>
    <row r="26" spans="2:12" x14ac:dyDescent="0.25">
      <c r="B26" s="69" t="s">
        <v>0</v>
      </c>
      <c r="C26" s="61" t="s">
        <v>90</v>
      </c>
      <c r="D26" s="61"/>
    </row>
    <row r="27" spans="2:12" x14ac:dyDescent="0.25">
      <c r="B27" s="70"/>
      <c r="C27" s="2" t="s">
        <v>13</v>
      </c>
      <c r="D27" s="2" t="s">
        <v>14</v>
      </c>
    </row>
    <row r="28" spans="2:12" x14ac:dyDescent="0.25">
      <c r="B28" s="93" t="s">
        <v>7</v>
      </c>
      <c r="C28" s="92">
        <v>45812.509884259256</v>
      </c>
      <c r="D28" s="92">
        <v>45870</v>
      </c>
    </row>
    <row r="30" spans="2:12" x14ac:dyDescent="0.25">
      <c r="B30" s="69" t="s">
        <v>0</v>
      </c>
      <c r="C30" s="61" t="s">
        <v>90</v>
      </c>
      <c r="D30" s="61"/>
    </row>
    <row r="31" spans="2:12" x14ac:dyDescent="0.25">
      <c r="B31" s="70"/>
      <c r="C31" s="2" t="s">
        <v>13</v>
      </c>
      <c r="D31" s="2" t="s">
        <v>14</v>
      </c>
    </row>
    <row r="32" spans="2:12" x14ac:dyDescent="0.25">
      <c r="B32" s="112" t="s">
        <v>8</v>
      </c>
      <c r="C32" s="113">
        <v>45618.770833333336</v>
      </c>
      <c r="D32" s="113">
        <v>45870</v>
      </c>
    </row>
    <row r="33" spans="2:10" x14ac:dyDescent="0.25">
      <c r="H33" s="89" t="s">
        <v>10</v>
      </c>
      <c r="I33" s="88">
        <v>45719.727256944447</v>
      </c>
      <c r="J33" s="88">
        <v>45805.541666666664</v>
      </c>
    </row>
    <row r="34" spans="2:10" x14ac:dyDescent="0.25">
      <c r="B34" s="69" t="s">
        <v>0</v>
      </c>
      <c r="C34" s="61" t="s">
        <v>90</v>
      </c>
      <c r="D34" s="61"/>
      <c r="H34" s="89"/>
      <c r="I34" s="88"/>
      <c r="J34" s="88"/>
    </row>
    <row r="35" spans="2:10" x14ac:dyDescent="0.25">
      <c r="B35" s="70"/>
      <c r="C35" s="2" t="s">
        <v>13</v>
      </c>
      <c r="D35" s="2" t="s">
        <v>14</v>
      </c>
      <c r="H35" s="89"/>
      <c r="I35" s="88"/>
      <c r="J35" s="88"/>
    </row>
    <row r="36" spans="2:10" x14ac:dyDescent="0.25">
      <c r="B36" s="106" t="s">
        <v>9</v>
      </c>
      <c r="C36" s="107">
        <v>45834.569444444445</v>
      </c>
      <c r="D36" s="107">
        <v>45870</v>
      </c>
    </row>
    <row r="38" spans="2:10" x14ac:dyDescent="0.25">
      <c r="B38" s="69" t="s">
        <v>0</v>
      </c>
      <c r="C38" s="61" t="s">
        <v>90</v>
      </c>
      <c r="D38" s="61"/>
      <c r="H38" s="94" t="s">
        <v>11</v>
      </c>
      <c r="I38" s="97">
        <v>45689.430555555555</v>
      </c>
      <c r="J38" s="97">
        <v>45870</v>
      </c>
    </row>
    <row r="39" spans="2:10" x14ac:dyDescent="0.25">
      <c r="B39" s="70"/>
      <c r="C39" s="2" t="s">
        <v>13</v>
      </c>
      <c r="D39" s="2" t="s">
        <v>14</v>
      </c>
      <c r="H39" s="95"/>
      <c r="I39" s="98"/>
      <c r="J39" s="98"/>
    </row>
    <row r="40" spans="2:10" x14ac:dyDescent="0.25">
      <c r="B40" s="108" t="s">
        <v>10</v>
      </c>
      <c r="C40" s="109">
        <v>45719.727256944447</v>
      </c>
      <c r="D40" s="109">
        <v>45805.541666666664</v>
      </c>
      <c r="H40" s="96"/>
      <c r="I40" s="99"/>
      <c r="J40" s="99"/>
    </row>
    <row r="42" spans="2:10" x14ac:dyDescent="0.25">
      <c r="B42" s="69" t="s">
        <v>0</v>
      </c>
      <c r="C42" s="61" t="s">
        <v>90</v>
      </c>
      <c r="D42" s="61"/>
    </row>
    <row r="43" spans="2:10" x14ac:dyDescent="0.25">
      <c r="B43" s="70"/>
      <c r="C43" s="2" t="s">
        <v>13</v>
      </c>
      <c r="D43" s="2" t="s">
        <v>14</v>
      </c>
    </row>
    <row r="44" spans="2:10" x14ac:dyDescent="0.25">
      <c r="B44" s="110" t="s">
        <v>11</v>
      </c>
      <c r="C44" s="111">
        <v>45689.430555555555</v>
      </c>
      <c r="D44" s="111">
        <v>45870</v>
      </c>
    </row>
    <row r="45" spans="2:10" x14ac:dyDescent="0.25">
      <c r="G45" s="102" t="s">
        <v>12</v>
      </c>
      <c r="H45" s="100">
        <v>45801.738935185182</v>
      </c>
      <c r="I45" s="100">
        <v>45870</v>
      </c>
    </row>
    <row r="46" spans="2:10" x14ac:dyDescent="0.25">
      <c r="B46" s="69" t="s">
        <v>0</v>
      </c>
      <c r="C46" s="61" t="s">
        <v>90</v>
      </c>
      <c r="D46" s="61"/>
      <c r="G46" s="103"/>
      <c r="H46" s="101"/>
      <c r="I46" s="101"/>
    </row>
    <row r="47" spans="2:10" x14ac:dyDescent="0.25">
      <c r="B47" s="70"/>
      <c r="C47" s="2" t="s">
        <v>13</v>
      </c>
      <c r="D47" s="2" t="s">
        <v>14</v>
      </c>
    </row>
    <row r="48" spans="2:10" x14ac:dyDescent="0.25">
      <c r="B48" s="104" t="s">
        <v>12</v>
      </c>
      <c r="C48" s="105">
        <v>45801.738935185182</v>
      </c>
      <c r="D48" s="105">
        <v>45870</v>
      </c>
    </row>
  </sheetData>
  <mergeCells count="24">
    <mergeCell ref="B42:B43"/>
    <mergeCell ref="C42:D42"/>
    <mergeCell ref="B46:B47"/>
    <mergeCell ref="C46:D46"/>
    <mergeCell ref="B34:B35"/>
    <mergeCell ref="C34:D34"/>
    <mergeCell ref="B38:B39"/>
    <mergeCell ref="C38:D38"/>
    <mergeCell ref="B26:B27"/>
    <mergeCell ref="C26:D26"/>
    <mergeCell ref="B30:B31"/>
    <mergeCell ref="C30:D30"/>
    <mergeCell ref="B14:B15"/>
    <mergeCell ref="C14:D14"/>
    <mergeCell ref="B18:B19"/>
    <mergeCell ref="C18:D18"/>
    <mergeCell ref="B22:B23"/>
    <mergeCell ref="C22:D22"/>
    <mergeCell ref="B2:B3"/>
    <mergeCell ref="C2:D2"/>
    <mergeCell ref="B6:B7"/>
    <mergeCell ref="C6:D6"/>
    <mergeCell ref="B10:B11"/>
    <mergeCell ref="C10:D1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19A1E-9BD7-4496-8BC9-E262A0AEF8A0}">
  <dimension ref="B4:G11"/>
  <sheetViews>
    <sheetView workbookViewId="0">
      <selection activeCell="C18" sqref="C18"/>
    </sheetView>
  </sheetViews>
  <sheetFormatPr defaultRowHeight="15" x14ac:dyDescent="0.25"/>
  <cols>
    <col min="2" max="2" width="11" bestFit="1" customWidth="1"/>
    <col min="3" max="3" width="32.5703125" bestFit="1" customWidth="1"/>
    <col min="4" max="4" width="14.85546875" bestFit="1" customWidth="1"/>
    <col min="5" max="5" width="21" bestFit="1" customWidth="1"/>
    <col min="6" max="6" width="32.5703125" bestFit="1" customWidth="1"/>
    <col min="7" max="7" width="10.85546875" bestFit="1" customWidth="1"/>
    <col min="8" max="8" width="8.85546875" customWidth="1"/>
  </cols>
  <sheetData>
    <row r="4" spans="2:7" x14ac:dyDescent="0.25">
      <c r="B4" s="69" t="s">
        <v>0</v>
      </c>
      <c r="C4" s="56" t="s">
        <v>17</v>
      </c>
      <c r="D4" s="19"/>
      <c r="E4" s="56"/>
      <c r="G4" s="56" t="s">
        <v>28</v>
      </c>
    </row>
    <row r="5" spans="2:7" x14ac:dyDescent="0.25">
      <c r="B5" s="70"/>
      <c r="C5" s="56"/>
      <c r="D5" s="2"/>
      <c r="E5" s="56"/>
      <c r="G5" s="56"/>
    </row>
    <row r="6" spans="2:7" x14ac:dyDescent="0.25">
      <c r="B6" s="68" t="s">
        <v>10</v>
      </c>
      <c r="C6" s="17" t="s">
        <v>37</v>
      </c>
      <c r="D6" s="57"/>
      <c r="E6" s="68"/>
      <c r="G6" s="17" t="s">
        <v>21</v>
      </c>
    </row>
    <row r="7" spans="2:7" x14ac:dyDescent="0.25">
      <c r="B7" s="68"/>
      <c r="C7" s="17" t="s">
        <v>38</v>
      </c>
      <c r="D7" s="57"/>
      <c r="E7" s="68"/>
      <c r="G7" s="17" t="s">
        <v>21</v>
      </c>
    </row>
    <row r="8" spans="2:7" x14ac:dyDescent="0.25">
      <c r="B8" s="68"/>
      <c r="C8" s="17" t="s">
        <v>39</v>
      </c>
      <c r="D8" s="57"/>
      <c r="E8" s="68"/>
      <c r="G8" s="17" t="s">
        <v>21</v>
      </c>
    </row>
    <row r="9" spans="2:7" x14ac:dyDescent="0.25">
      <c r="B9" s="71" t="s">
        <v>11</v>
      </c>
      <c r="C9" s="13" t="s">
        <v>40</v>
      </c>
      <c r="D9" s="74"/>
      <c r="E9" s="71"/>
      <c r="G9" s="13" t="s">
        <v>21</v>
      </c>
    </row>
    <row r="10" spans="2:7" x14ac:dyDescent="0.25">
      <c r="B10" s="72"/>
      <c r="C10" s="13" t="s">
        <v>41</v>
      </c>
      <c r="D10" s="75"/>
      <c r="E10" s="72"/>
      <c r="G10" s="13" t="s">
        <v>21</v>
      </c>
    </row>
    <row r="11" spans="2:7" x14ac:dyDescent="0.25">
      <c r="B11" s="73"/>
      <c r="C11" s="13" t="s">
        <v>42</v>
      </c>
      <c r="D11" s="76"/>
      <c r="E11" s="73"/>
      <c r="G11" s="13" t="s">
        <v>21</v>
      </c>
    </row>
  </sheetData>
  <mergeCells count="10">
    <mergeCell ref="G4:G5"/>
    <mergeCell ref="B6:B8"/>
    <mergeCell ref="D6:D8"/>
    <mergeCell ref="E6:E8"/>
    <mergeCell ref="B9:B11"/>
    <mergeCell ref="D9:D11"/>
    <mergeCell ref="E9:E11"/>
    <mergeCell ref="B4:B5"/>
    <mergeCell ref="E4:E5"/>
    <mergeCell ref="C4:C5"/>
  </mergeCells>
  <conditionalFormatting sqref="G6:G1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{233EADE3-A2D2-4523-B78F-934D89D27907}</x14:id>
        </ext>
      </extLst>
    </cfRule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33EADE3-A2D2-4523-B78F-934D89D279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G6:G11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0C2D8-BC99-437E-AAE8-D3E528539AC6}">
  <dimension ref="B1:X16"/>
  <sheetViews>
    <sheetView topLeftCell="P1" workbookViewId="0">
      <selection activeCell="R3" sqref="R3:X8"/>
    </sheetView>
  </sheetViews>
  <sheetFormatPr defaultRowHeight="15" x14ac:dyDescent="0.25"/>
  <cols>
    <col min="2" max="3" width="6.7109375" bestFit="1" customWidth="1"/>
    <col min="4" max="4" width="6.28515625" bestFit="1" customWidth="1"/>
    <col min="5" max="5" width="7.28515625" bestFit="1" customWidth="1"/>
    <col min="6" max="6" width="13.140625" bestFit="1" customWidth="1"/>
    <col min="7" max="7" width="5" bestFit="1" customWidth="1"/>
    <col min="8" max="8" width="4.85546875" bestFit="1" customWidth="1"/>
    <col min="9" max="9" width="5" bestFit="1" customWidth="1"/>
    <col min="10" max="10" width="7.5703125" bestFit="1" customWidth="1"/>
    <col min="11" max="12" width="4" bestFit="1" customWidth="1"/>
    <col min="13" max="13" width="7.7109375" bestFit="1" customWidth="1"/>
    <col min="17" max="17" width="11.5703125" bestFit="1" customWidth="1"/>
    <col min="18" max="18" width="14.85546875" bestFit="1" customWidth="1"/>
    <col min="19" max="24" width="15" customWidth="1"/>
  </cols>
  <sheetData>
    <row r="1" spans="2:24" ht="15.75" thickBot="1" x14ac:dyDescent="0.3"/>
    <row r="2" spans="2:24" ht="15.75" x14ac:dyDescent="0.25">
      <c r="B2" s="78" t="s">
        <v>56</v>
      </c>
      <c r="C2" s="81" t="s">
        <v>57</v>
      </c>
      <c r="D2" s="81" t="s">
        <v>58</v>
      </c>
      <c r="E2" s="81" t="s">
        <v>59</v>
      </c>
      <c r="F2" s="29" t="s">
        <v>60</v>
      </c>
      <c r="G2" s="83" t="s">
        <v>61</v>
      </c>
      <c r="H2" s="84"/>
      <c r="I2" s="84"/>
      <c r="J2" s="84"/>
      <c r="K2" s="84"/>
      <c r="L2" s="84"/>
      <c r="M2" s="85"/>
    </row>
    <row r="3" spans="2:24" ht="45" x14ac:dyDescent="0.25">
      <c r="B3" s="79"/>
      <c r="C3" s="82"/>
      <c r="D3" s="82"/>
      <c r="E3" s="82"/>
      <c r="F3" s="86" t="s">
        <v>62</v>
      </c>
      <c r="G3" s="21" t="s">
        <v>63</v>
      </c>
      <c r="H3" s="21" t="s">
        <v>64</v>
      </c>
      <c r="I3" s="22" t="s">
        <v>65</v>
      </c>
      <c r="J3" s="22" t="s">
        <v>66</v>
      </c>
      <c r="K3" s="22" t="s">
        <v>67</v>
      </c>
      <c r="L3" s="22" t="s">
        <v>68</v>
      </c>
      <c r="M3" s="30" t="s">
        <v>69</v>
      </c>
      <c r="R3" s="11" t="s">
        <v>78</v>
      </c>
      <c r="S3" s="12" t="s">
        <v>79</v>
      </c>
      <c r="T3" s="12" t="s">
        <v>80</v>
      </c>
      <c r="U3" s="12" t="s">
        <v>81</v>
      </c>
      <c r="V3" s="12" t="s">
        <v>82</v>
      </c>
      <c r="W3" s="12" t="s">
        <v>83</v>
      </c>
      <c r="X3" s="12" t="s">
        <v>84</v>
      </c>
    </row>
    <row r="4" spans="2:24" ht="16.5" thickBot="1" x14ac:dyDescent="0.3">
      <c r="B4" s="80"/>
      <c r="C4" s="49" t="s">
        <v>70</v>
      </c>
      <c r="D4" s="49" t="s">
        <v>71</v>
      </c>
      <c r="E4" s="49" t="s">
        <v>62</v>
      </c>
      <c r="F4" s="87"/>
      <c r="G4" s="50" t="s">
        <v>72</v>
      </c>
      <c r="H4" s="50" t="s">
        <v>72</v>
      </c>
      <c r="I4" s="51" t="s">
        <v>73</v>
      </c>
      <c r="J4" s="51" t="s">
        <v>74</v>
      </c>
      <c r="K4" s="51" t="s">
        <v>75</v>
      </c>
      <c r="L4" s="51" t="s">
        <v>75</v>
      </c>
      <c r="M4" s="52" t="s">
        <v>76</v>
      </c>
      <c r="Q4">
        <v>0</v>
      </c>
      <c r="R4" s="9">
        <v>43932.590277777781</v>
      </c>
      <c r="S4" s="8">
        <v>4491.84</v>
      </c>
      <c r="T4" s="8">
        <v>1377.92</v>
      </c>
      <c r="U4" s="8">
        <v>339.31</v>
      </c>
      <c r="V4" s="8">
        <v>296.45999999999998</v>
      </c>
      <c r="W4" s="8">
        <v>41.79</v>
      </c>
      <c r="X4" s="8">
        <v>0.76</v>
      </c>
    </row>
    <row r="5" spans="2:24" ht="15.75" x14ac:dyDescent="0.25">
      <c r="B5" s="41">
        <v>45723</v>
      </c>
      <c r="C5" s="42">
        <v>0</v>
      </c>
      <c r="D5" s="43">
        <v>0</v>
      </c>
      <c r="E5" s="44">
        <v>0</v>
      </c>
      <c r="F5" s="44">
        <v>0</v>
      </c>
      <c r="G5" s="45">
        <v>2506</v>
      </c>
      <c r="H5" s="46" t="s">
        <v>77</v>
      </c>
      <c r="I5" s="45">
        <v>40</v>
      </c>
      <c r="J5" s="47">
        <v>18.7</v>
      </c>
      <c r="K5" s="45">
        <v>273</v>
      </c>
      <c r="L5" s="45">
        <v>250</v>
      </c>
      <c r="M5" s="48">
        <v>266</v>
      </c>
      <c r="N5" s="20"/>
      <c r="Q5">
        <v>1</v>
      </c>
      <c r="R5" s="9">
        <v>43932.597222222219</v>
      </c>
      <c r="S5" s="8">
        <v>4509.1099999999997</v>
      </c>
      <c r="T5" s="8">
        <v>1351.07</v>
      </c>
      <c r="U5" s="8">
        <v>339.18</v>
      </c>
      <c r="V5" s="8">
        <v>296.39999999999998</v>
      </c>
      <c r="W5" s="8">
        <v>41.63</v>
      </c>
      <c r="X5" s="8">
        <v>0.8</v>
      </c>
    </row>
    <row r="6" spans="2:24" ht="15.75" x14ac:dyDescent="0.25">
      <c r="B6" s="31">
        <v>45724</v>
      </c>
      <c r="C6" s="23">
        <v>1134.5531826086958</v>
      </c>
      <c r="D6" s="24">
        <v>0</v>
      </c>
      <c r="E6" s="28">
        <v>1</v>
      </c>
      <c r="F6" s="28">
        <v>1.6207902608695655</v>
      </c>
      <c r="G6" s="25">
        <v>2505</v>
      </c>
      <c r="H6" s="26" t="s">
        <v>77</v>
      </c>
      <c r="I6" s="25">
        <v>40</v>
      </c>
      <c r="J6" s="27">
        <v>18.8</v>
      </c>
      <c r="K6" s="25">
        <v>275</v>
      </c>
      <c r="L6" s="25">
        <v>252</v>
      </c>
      <c r="M6" s="32">
        <v>260</v>
      </c>
      <c r="N6" s="20"/>
      <c r="Q6">
        <v>2</v>
      </c>
      <c r="R6" s="9">
        <v>43932.604166666664</v>
      </c>
      <c r="S6" s="8">
        <v>4542.28</v>
      </c>
      <c r="T6" s="8">
        <v>1325.21</v>
      </c>
      <c r="U6" s="8">
        <v>338.82</v>
      </c>
      <c r="V6" s="8">
        <v>296.39999999999998</v>
      </c>
      <c r="W6" s="8">
        <v>41.52</v>
      </c>
      <c r="X6" s="8">
        <v>0.75</v>
      </c>
    </row>
    <row r="7" spans="2:24" ht="15.75" x14ac:dyDescent="0.25">
      <c r="B7" s="31">
        <v>45725</v>
      </c>
      <c r="C7" s="23">
        <v>1315.6363636363637</v>
      </c>
      <c r="D7" s="24">
        <v>0</v>
      </c>
      <c r="E7" s="28">
        <v>1</v>
      </c>
      <c r="F7" s="28">
        <v>1.8794805194805195</v>
      </c>
      <c r="G7" s="25">
        <v>2509</v>
      </c>
      <c r="H7" s="26" t="s">
        <v>77</v>
      </c>
      <c r="I7" s="25">
        <v>40</v>
      </c>
      <c r="J7" s="27">
        <v>18.899999999999999</v>
      </c>
      <c r="K7" s="25">
        <v>281</v>
      </c>
      <c r="L7" s="25">
        <v>258</v>
      </c>
      <c r="M7" s="32">
        <v>261</v>
      </c>
      <c r="N7" s="20"/>
      <c r="Q7">
        <v>3</v>
      </c>
      <c r="R7" s="9">
        <v>43932.611111111109</v>
      </c>
      <c r="S7" s="8">
        <v>4572.3999999999996</v>
      </c>
      <c r="T7" s="8">
        <v>1300.52</v>
      </c>
      <c r="U7" s="8">
        <v>338.67</v>
      </c>
      <c r="V7" s="8">
        <v>296.39999999999998</v>
      </c>
      <c r="W7" s="8">
        <v>41.4</v>
      </c>
      <c r="X7" s="8">
        <v>0.7</v>
      </c>
    </row>
    <row r="8" spans="2:24" ht="15.75" x14ac:dyDescent="0.25">
      <c r="B8" s="31">
        <v>45726</v>
      </c>
      <c r="C8" s="23">
        <v>1315.6363636363637</v>
      </c>
      <c r="D8" s="24">
        <v>0</v>
      </c>
      <c r="E8" s="28">
        <v>1</v>
      </c>
      <c r="F8" s="28">
        <v>1.8794805194805195</v>
      </c>
      <c r="G8" s="25">
        <v>2510</v>
      </c>
      <c r="H8" s="26" t="s">
        <v>77</v>
      </c>
      <c r="I8" s="25">
        <v>40</v>
      </c>
      <c r="J8" s="27">
        <v>18.8</v>
      </c>
      <c r="K8" s="25">
        <v>284</v>
      </c>
      <c r="L8" s="25">
        <v>261</v>
      </c>
      <c r="M8" s="32">
        <v>264</v>
      </c>
      <c r="N8" s="20"/>
      <c r="Q8">
        <v>4</v>
      </c>
      <c r="R8" s="9">
        <v>43932.618055555555</v>
      </c>
      <c r="S8" s="8">
        <v>4611.32</v>
      </c>
      <c r="T8" s="8">
        <v>1276.44</v>
      </c>
      <c r="U8" s="8">
        <v>338.49</v>
      </c>
      <c r="V8" s="8">
        <v>296.36</v>
      </c>
      <c r="W8" s="8">
        <v>41.26</v>
      </c>
      <c r="X8" s="8">
        <v>0.7</v>
      </c>
    </row>
    <row r="9" spans="2:24" ht="15.75" x14ac:dyDescent="0.25">
      <c r="B9" s="31">
        <v>45727</v>
      </c>
      <c r="C9" s="23">
        <v>1333.090909090909</v>
      </c>
      <c r="D9" s="24">
        <v>0</v>
      </c>
      <c r="E9" s="28">
        <v>1</v>
      </c>
      <c r="F9" s="28">
        <v>1.9044155844155843</v>
      </c>
      <c r="G9" s="25">
        <v>2510</v>
      </c>
      <c r="H9" s="26" t="s">
        <v>77</v>
      </c>
      <c r="I9" s="25">
        <v>40</v>
      </c>
      <c r="J9" s="27">
        <v>20.3</v>
      </c>
      <c r="K9" s="25">
        <v>288</v>
      </c>
      <c r="L9" s="25">
        <v>263</v>
      </c>
      <c r="M9" s="32">
        <v>263</v>
      </c>
      <c r="N9" s="20"/>
    </row>
    <row r="10" spans="2:24" ht="15.75" x14ac:dyDescent="0.25">
      <c r="B10" s="31">
        <v>45728</v>
      </c>
      <c r="C10" s="23">
        <v>1375.090909090909</v>
      </c>
      <c r="D10" s="24">
        <v>0</v>
      </c>
      <c r="E10" s="28">
        <v>1</v>
      </c>
      <c r="F10" s="28">
        <v>1.9644155844155844</v>
      </c>
      <c r="G10" s="25">
        <v>2511</v>
      </c>
      <c r="H10" s="26" t="s">
        <v>77</v>
      </c>
      <c r="I10" s="25">
        <v>40</v>
      </c>
      <c r="J10" s="27">
        <v>19.8</v>
      </c>
      <c r="K10" s="25">
        <v>286</v>
      </c>
      <c r="L10" s="25">
        <v>265</v>
      </c>
      <c r="M10" s="32">
        <v>265</v>
      </c>
      <c r="N10" s="20"/>
    </row>
    <row r="11" spans="2:24" ht="16.5" thickBot="1" x14ac:dyDescent="0.3">
      <c r="B11" s="33">
        <v>45729</v>
      </c>
      <c r="C11" s="34">
        <v>1375.090909090909</v>
      </c>
      <c r="D11" s="35">
        <v>0</v>
      </c>
      <c r="E11" s="36">
        <v>1</v>
      </c>
      <c r="F11" s="36">
        <v>1.9644155844155844</v>
      </c>
      <c r="G11" s="37">
        <v>2512</v>
      </c>
      <c r="H11" s="38" t="s">
        <v>77</v>
      </c>
      <c r="I11" s="37">
        <v>40</v>
      </c>
      <c r="J11" s="39">
        <v>18.600000000000001</v>
      </c>
      <c r="K11" s="37">
        <v>287</v>
      </c>
      <c r="L11" s="37">
        <v>266</v>
      </c>
      <c r="M11" s="40">
        <v>267</v>
      </c>
      <c r="N11" s="20"/>
    </row>
    <row r="12" spans="2:24" ht="15.75" x14ac:dyDescent="0.25">
      <c r="B12" s="41">
        <v>45730</v>
      </c>
      <c r="C12" s="42">
        <v>1375.090909090909</v>
      </c>
      <c r="D12" s="43">
        <v>0</v>
      </c>
      <c r="E12" s="53">
        <v>1</v>
      </c>
      <c r="F12" s="53">
        <v>1.9644155844155844</v>
      </c>
      <c r="G12" s="45">
        <v>2510</v>
      </c>
      <c r="H12" s="46" t="s">
        <v>77</v>
      </c>
      <c r="I12" s="45">
        <v>40</v>
      </c>
      <c r="J12" s="47">
        <v>18.7</v>
      </c>
      <c r="K12" s="45">
        <v>266</v>
      </c>
      <c r="L12" s="45">
        <v>288</v>
      </c>
      <c r="M12" s="48">
        <v>267</v>
      </c>
      <c r="N12" s="20"/>
    </row>
    <row r="13" spans="2:24" ht="15.75" x14ac:dyDescent="0.25">
      <c r="B13" s="31">
        <v>45731</v>
      </c>
      <c r="C13" s="23">
        <v>1375.090909090909</v>
      </c>
      <c r="D13" s="24">
        <v>0</v>
      </c>
      <c r="E13" s="28">
        <v>1</v>
      </c>
      <c r="F13" s="28">
        <v>1.9644155844155844</v>
      </c>
      <c r="G13" s="25">
        <v>2511</v>
      </c>
      <c r="H13" s="26" t="s">
        <v>77</v>
      </c>
      <c r="I13" s="25">
        <v>40</v>
      </c>
      <c r="J13" s="27">
        <v>18.8</v>
      </c>
      <c r="K13" s="25">
        <v>267</v>
      </c>
      <c r="L13" s="25">
        <v>288</v>
      </c>
      <c r="M13" s="32">
        <v>266</v>
      </c>
      <c r="N13" s="20"/>
    </row>
    <row r="14" spans="2:24" ht="15.75" x14ac:dyDescent="0.25">
      <c r="B14" s="31">
        <v>45732</v>
      </c>
      <c r="C14" s="23">
        <v>1375.090909090909</v>
      </c>
      <c r="D14" s="24">
        <v>0</v>
      </c>
      <c r="E14" s="28">
        <v>1</v>
      </c>
      <c r="F14" s="28">
        <v>1.9644155844155844</v>
      </c>
      <c r="G14" s="25">
        <v>2511</v>
      </c>
      <c r="H14" s="26" t="s">
        <v>77</v>
      </c>
      <c r="I14" s="25">
        <v>40</v>
      </c>
      <c r="J14" s="27">
        <v>18.399999999999999</v>
      </c>
      <c r="K14" s="25">
        <v>267</v>
      </c>
      <c r="L14" s="25">
        <v>288</v>
      </c>
      <c r="M14" s="32">
        <v>266</v>
      </c>
      <c r="N14" s="20"/>
    </row>
    <row r="15" spans="2:24" ht="15.75" x14ac:dyDescent="0.25">
      <c r="B15" s="31">
        <v>45733</v>
      </c>
      <c r="C15" s="23">
        <v>1375.090909090909</v>
      </c>
      <c r="D15" s="24">
        <v>0</v>
      </c>
      <c r="E15" s="28">
        <v>1</v>
      </c>
      <c r="F15" s="28">
        <v>1.9644155844155844</v>
      </c>
      <c r="G15" s="25">
        <v>2511</v>
      </c>
      <c r="H15" s="26" t="s">
        <v>77</v>
      </c>
      <c r="I15" s="25">
        <v>40</v>
      </c>
      <c r="J15" s="27">
        <v>18.5</v>
      </c>
      <c r="K15" s="25">
        <v>268</v>
      </c>
      <c r="L15" s="25">
        <v>288</v>
      </c>
      <c r="M15" s="32">
        <v>261</v>
      </c>
      <c r="N15" s="20"/>
    </row>
    <row r="16" spans="2:24" ht="16.5" thickBot="1" x14ac:dyDescent="0.3">
      <c r="B16" s="33">
        <v>45734</v>
      </c>
      <c r="C16" s="34">
        <v>1355.875</v>
      </c>
      <c r="D16" s="35">
        <v>0</v>
      </c>
      <c r="E16" s="36">
        <v>1</v>
      </c>
      <c r="F16" s="36">
        <v>1.9369642857142857</v>
      </c>
      <c r="G16" s="37">
        <v>2511</v>
      </c>
      <c r="H16" s="38" t="s">
        <v>77</v>
      </c>
      <c r="I16" s="37">
        <v>40</v>
      </c>
      <c r="J16" s="39">
        <v>18.8</v>
      </c>
      <c r="K16" s="37">
        <v>288</v>
      </c>
      <c r="L16" s="37">
        <v>288</v>
      </c>
      <c r="M16" s="40">
        <v>266</v>
      </c>
      <c r="N16" s="20"/>
    </row>
  </sheetData>
  <mergeCells count="6">
    <mergeCell ref="B2:B4"/>
    <mergeCell ref="C2:C3"/>
    <mergeCell ref="D2:D3"/>
    <mergeCell ref="E2:E3"/>
    <mergeCell ref="G2:M2"/>
    <mergeCell ref="F3:F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5DF7B-7C99-4AA5-95C6-4B2E938286EA}">
  <dimension ref="B3:J58"/>
  <sheetViews>
    <sheetView topLeftCell="A39" zoomScale="78" workbookViewId="0">
      <selection activeCell="M46" sqref="M46"/>
    </sheetView>
  </sheetViews>
  <sheetFormatPr defaultRowHeight="15" x14ac:dyDescent="0.25"/>
  <cols>
    <col min="1" max="1" width="8.42578125" bestFit="1" customWidth="1"/>
    <col min="2" max="2" width="8.7109375" bestFit="1" customWidth="1"/>
    <col min="3" max="3" width="17" bestFit="1" customWidth="1"/>
    <col min="4" max="10" width="13.42578125" style="7" customWidth="1"/>
  </cols>
  <sheetData>
    <row r="3" spans="2:10" ht="45" x14ac:dyDescent="0.25">
      <c r="B3" s="11" t="s">
        <v>46</v>
      </c>
      <c r="C3" s="11" t="s">
        <v>47</v>
      </c>
      <c r="D3" s="12" t="s">
        <v>48</v>
      </c>
      <c r="E3" s="12" t="s">
        <v>49</v>
      </c>
      <c r="F3" s="12" t="s">
        <v>50</v>
      </c>
      <c r="G3" s="12" t="s">
        <v>51</v>
      </c>
      <c r="H3" s="12" t="s">
        <v>52</v>
      </c>
      <c r="I3" s="12" t="s">
        <v>53</v>
      </c>
      <c r="J3" s="12" t="s">
        <v>54</v>
      </c>
    </row>
    <row r="4" spans="2:10" x14ac:dyDescent="0.25">
      <c r="B4" s="8" t="s">
        <v>8</v>
      </c>
      <c r="C4" s="9">
        <v>45657.020833333336</v>
      </c>
      <c r="D4" s="10">
        <v>52</v>
      </c>
      <c r="E4" s="10">
        <v>33</v>
      </c>
      <c r="F4" s="10">
        <v>1887.7999999997101</v>
      </c>
      <c r="G4" s="10">
        <v>53.400000000108498</v>
      </c>
      <c r="H4" s="10">
        <v>274.10000000000002</v>
      </c>
      <c r="I4" s="10">
        <v>289.00000000400001</v>
      </c>
      <c r="J4" s="10">
        <v>0.200000000435646</v>
      </c>
    </row>
    <row r="5" spans="2:10" x14ac:dyDescent="0.25">
      <c r="B5" s="8" t="s">
        <v>8</v>
      </c>
      <c r="C5" s="9">
        <v>45657.027777777781</v>
      </c>
      <c r="D5" s="10">
        <v>52</v>
      </c>
      <c r="E5" s="10">
        <v>33</v>
      </c>
      <c r="F5" s="10">
        <v>1890.70000000031</v>
      </c>
      <c r="G5" s="10">
        <v>53.400000000108498</v>
      </c>
      <c r="H5" s="10">
        <v>274.10000000000002</v>
      </c>
      <c r="I5" s="10">
        <v>289.20000000200002</v>
      </c>
      <c r="J5" s="10">
        <v>0.200000000435646</v>
      </c>
    </row>
    <row r="6" spans="2:10" x14ac:dyDescent="0.25">
      <c r="B6" s="8" t="s">
        <v>8</v>
      </c>
      <c r="C6" s="9">
        <v>45657.034722222219</v>
      </c>
      <c r="D6" s="10">
        <v>51.9</v>
      </c>
      <c r="E6" s="10">
        <v>33</v>
      </c>
      <c r="F6" s="10">
        <v>1885.89999999981</v>
      </c>
      <c r="G6" s="10">
        <v>53.700000000320998</v>
      </c>
      <c r="H6" s="10">
        <v>274.10000000000002</v>
      </c>
      <c r="I6" s="10">
        <v>289.00000000400001</v>
      </c>
      <c r="J6" s="10">
        <v>0.200000000435646</v>
      </c>
    </row>
    <row r="7" spans="2:10" x14ac:dyDescent="0.25">
      <c r="B7" s="8" t="s">
        <v>8</v>
      </c>
      <c r="C7" s="9">
        <v>45657.041006944448</v>
      </c>
      <c r="D7" s="10">
        <v>53.4</v>
      </c>
      <c r="E7" s="10">
        <v>33</v>
      </c>
      <c r="F7" s="10">
        <v>1887.6999999996401</v>
      </c>
      <c r="G7" s="10">
        <v>53.500000000179298</v>
      </c>
      <c r="H7" s="10">
        <v>274.10000000000002</v>
      </c>
      <c r="I7" s="10">
        <v>289.00000000400001</v>
      </c>
      <c r="J7" s="10">
        <v>0.200000000435646</v>
      </c>
    </row>
    <row r="8" spans="2:10" x14ac:dyDescent="0.25">
      <c r="B8" s="8" t="s">
        <v>8</v>
      </c>
      <c r="C8" s="9">
        <v>45657.041666666664</v>
      </c>
      <c r="D8" s="10">
        <v>53.6</v>
      </c>
      <c r="E8" s="10">
        <v>33</v>
      </c>
      <c r="F8" s="10">
        <v>1887.6999999996401</v>
      </c>
      <c r="G8" s="10">
        <v>53.500000000179298</v>
      </c>
      <c r="H8" s="10">
        <v>274.10000000000002</v>
      </c>
      <c r="I8" s="10">
        <v>289.00000000400001</v>
      </c>
      <c r="J8" s="10">
        <v>0.200000000435646</v>
      </c>
    </row>
    <row r="9" spans="2:10" x14ac:dyDescent="0.25">
      <c r="B9" s="8" t="s">
        <v>8</v>
      </c>
      <c r="C9" s="9">
        <v>45657.041678240741</v>
      </c>
      <c r="D9" s="10">
        <v>53.5</v>
      </c>
      <c r="E9" s="10">
        <v>33</v>
      </c>
      <c r="F9" s="10">
        <v>1887.6999999996401</v>
      </c>
      <c r="G9" s="10">
        <v>53.500000000179298</v>
      </c>
      <c r="H9" s="10">
        <v>274.10000000000002</v>
      </c>
      <c r="I9" s="10">
        <v>289.00000000400001</v>
      </c>
      <c r="J9" s="10">
        <v>0.200000000435646</v>
      </c>
    </row>
    <row r="10" spans="2:10" x14ac:dyDescent="0.25">
      <c r="B10" s="8" t="s">
        <v>8</v>
      </c>
      <c r="C10" s="9">
        <v>45657.042013888888</v>
      </c>
      <c r="D10" s="10">
        <v>101.3</v>
      </c>
      <c r="E10" s="10">
        <v>33</v>
      </c>
      <c r="F10" s="10">
        <v>1887.6999999996401</v>
      </c>
      <c r="G10" s="10">
        <v>53.500000000179298</v>
      </c>
      <c r="H10" s="10">
        <v>274.10000000000002</v>
      </c>
      <c r="I10" s="10">
        <v>289.00000000400001</v>
      </c>
      <c r="J10" s="10">
        <v>0.200000000435646</v>
      </c>
    </row>
    <row r="11" spans="2:10" x14ac:dyDescent="0.25">
      <c r="B11" s="8" t="s">
        <v>8</v>
      </c>
      <c r="C11" s="9">
        <v>45657.042442129627</v>
      </c>
      <c r="D11" s="10">
        <v>0</v>
      </c>
      <c r="E11" s="10">
        <v>33</v>
      </c>
      <c r="F11" s="10">
        <v>1887.6999999996401</v>
      </c>
      <c r="G11" s="10">
        <v>53.500000000179298</v>
      </c>
      <c r="H11" s="10">
        <v>274.10000000000002</v>
      </c>
      <c r="I11" s="10">
        <v>289.00000000400001</v>
      </c>
      <c r="J11" s="10">
        <v>0.200000000435646</v>
      </c>
    </row>
    <row r="12" spans="2:10" x14ac:dyDescent="0.25">
      <c r="B12" s="8" t="s">
        <v>8</v>
      </c>
      <c r="C12" s="9">
        <v>45657.042500000003</v>
      </c>
      <c r="D12" s="10">
        <v>0</v>
      </c>
      <c r="E12" s="10">
        <v>0</v>
      </c>
      <c r="F12" s="10">
        <v>1887.6999999996401</v>
      </c>
      <c r="G12" s="10">
        <v>53.500000000179298</v>
      </c>
      <c r="H12" s="10">
        <v>274.10000000000002</v>
      </c>
      <c r="I12" s="10">
        <v>289.00000000400001</v>
      </c>
      <c r="J12" s="10">
        <v>0.200000000435646</v>
      </c>
    </row>
    <row r="13" spans="2:10" x14ac:dyDescent="0.25">
      <c r="B13" s="8" t="s">
        <v>8</v>
      </c>
      <c r="C13" s="9">
        <v>45657.043067129627</v>
      </c>
      <c r="D13" s="10">
        <v>0</v>
      </c>
      <c r="E13" s="10">
        <v>0</v>
      </c>
      <c r="F13" s="10">
        <v>1887.6999999996401</v>
      </c>
      <c r="G13" s="10">
        <v>53.500000000179298</v>
      </c>
      <c r="H13" s="10">
        <v>274.10000000000002</v>
      </c>
      <c r="I13" s="10">
        <v>289.00000000400001</v>
      </c>
      <c r="J13" s="10">
        <v>0.200000000435646</v>
      </c>
    </row>
    <row r="14" spans="2:10" x14ac:dyDescent="0.25">
      <c r="B14" s="8" t="s">
        <v>8</v>
      </c>
      <c r="C14" s="9">
        <v>45657.044664351852</v>
      </c>
      <c r="D14" s="10">
        <v>0</v>
      </c>
      <c r="E14" s="10">
        <v>0</v>
      </c>
      <c r="F14" s="10">
        <v>1887.6999999996401</v>
      </c>
      <c r="G14" s="10">
        <v>53.500000000179298</v>
      </c>
      <c r="H14" s="10">
        <v>274.10000000000002</v>
      </c>
      <c r="I14" s="10">
        <v>289.00000000400001</v>
      </c>
      <c r="J14" s="10">
        <v>0.200000000435646</v>
      </c>
    </row>
    <row r="15" spans="2:10" x14ac:dyDescent="0.25">
      <c r="B15" s="8" t="s">
        <v>8</v>
      </c>
      <c r="C15" s="9">
        <v>45657.048611111109</v>
      </c>
      <c r="D15" s="8">
        <v>0</v>
      </c>
      <c r="E15" s="8">
        <v>0</v>
      </c>
      <c r="F15" s="8">
        <v>1887.6999999996401</v>
      </c>
      <c r="G15" s="8">
        <v>53.500000000179298</v>
      </c>
      <c r="H15" s="8">
        <v>274.10000000000002</v>
      </c>
      <c r="I15" s="8">
        <v>289.00000000400001</v>
      </c>
      <c r="J15" s="8">
        <v>0.200000000435646</v>
      </c>
    </row>
    <row r="16" spans="2:10" x14ac:dyDescent="0.25">
      <c r="B16" s="8" t="s">
        <v>8</v>
      </c>
      <c r="C16" s="9">
        <v>45657.052430555559</v>
      </c>
      <c r="D16" s="8">
        <v>0</v>
      </c>
      <c r="E16" s="8">
        <v>0</v>
      </c>
      <c r="F16" s="8">
        <v>1887.6999999996401</v>
      </c>
      <c r="G16" s="8">
        <v>53.500000000179298</v>
      </c>
      <c r="H16" s="8">
        <v>274.10000000000002</v>
      </c>
      <c r="I16" s="8">
        <v>289.00000000400001</v>
      </c>
      <c r="J16" s="8">
        <v>0.200000000435646</v>
      </c>
    </row>
    <row r="17" spans="2:10" x14ac:dyDescent="0.25">
      <c r="B17" s="8" t="s">
        <v>8</v>
      </c>
      <c r="C17" s="9">
        <v>45657.055555555555</v>
      </c>
      <c r="D17" s="8">
        <v>0</v>
      </c>
      <c r="E17" s="8">
        <v>0</v>
      </c>
      <c r="F17" s="8">
        <v>1887.6999999996401</v>
      </c>
      <c r="G17" s="8">
        <v>53.500000000179298</v>
      </c>
      <c r="H17" s="8">
        <v>274.10000000000002</v>
      </c>
      <c r="I17" s="8">
        <v>289.00000000400001</v>
      </c>
      <c r="J17" s="8">
        <v>0.200000000435646</v>
      </c>
    </row>
    <row r="20" spans="2:10" ht="45" x14ac:dyDescent="0.25">
      <c r="B20" s="11" t="s">
        <v>46</v>
      </c>
      <c r="C20" s="11" t="s">
        <v>47</v>
      </c>
      <c r="D20" s="12" t="s">
        <v>48</v>
      </c>
      <c r="E20" s="12" t="s">
        <v>49</v>
      </c>
      <c r="F20" s="12" t="s">
        <v>50</v>
      </c>
      <c r="G20" s="12" t="s">
        <v>51</v>
      </c>
      <c r="H20" s="12" t="s">
        <v>52</v>
      </c>
      <c r="I20" s="12" t="s">
        <v>53</v>
      </c>
      <c r="J20" s="12" t="s">
        <v>54</v>
      </c>
    </row>
    <row r="21" spans="2:10" x14ac:dyDescent="0.25">
      <c r="B21" s="8" t="s">
        <v>3</v>
      </c>
      <c r="C21" s="9">
        <v>45656.5625</v>
      </c>
      <c r="D21" s="8">
        <v>24.3</v>
      </c>
      <c r="E21" s="8">
        <v>35</v>
      </c>
      <c r="F21" s="8">
        <v>2180.89999999988</v>
      </c>
      <c r="G21" s="8">
        <v>2498.5</v>
      </c>
      <c r="H21" s="8">
        <v>268.30000000400003</v>
      </c>
      <c r="I21" s="8">
        <v>289.00000000400001</v>
      </c>
      <c r="J21" s="8">
        <v>0.200000000435646</v>
      </c>
    </row>
    <row r="22" spans="2:10" x14ac:dyDescent="0.25">
      <c r="B22" s="8" t="s">
        <v>3</v>
      </c>
      <c r="C22" s="9">
        <v>45656.569444444445</v>
      </c>
      <c r="D22" s="8">
        <v>24.7</v>
      </c>
      <c r="E22" s="8">
        <v>35</v>
      </c>
      <c r="F22" s="8">
        <v>2180.4999999995998</v>
      </c>
      <c r="G22" s="8">
        <v>2500.2999999998201</v>
      </c>
      <c r="H22" s="8">
        <v>268.30000000400003</v>
      </c>
      <c r="I22" s="8">
        <v>289.00000000400001</v>
      </c>
      <c r="J22" s="8">
        <v>9.9999999707964998E-2</v>
      </c>
    </row>
    <row r="23" spans="2:10" x14ac:dyDescent="0.25">
      <c r="B23" s="8" t="s">
        <v>3</v>
      </c>
      <c r="C23" s="9">
        <v>45656.576388888891</v>
      </c>
      <c r="D23" s="8">
        <v>24.7</v>
      </c>
      <c r="E23" s="8">
        <v>35</v>
      </c>
      <c r="F23" s="8">
        <v>2179.3000000001998</v>
      </c>
      <c r="G23" s="8">
        <v>2499.6999999994</v>
      </c>
      <c r="H23" s="8">
        <v>268.30000000400003</v>
      </c>
      <c r="I23" s="8">
        <v>289.20000000200002</v>
      </c>
      <c r="J23" s="8">
        <v>9.9999999707964998E-2</v>
      </c>
    </row>
    <row r="24" spans="2:10" x14ac:dyDescent="0.25">
      <c r="B24" s="8" t="s">
        <v>3</v>
      </c>
      <c r="C24" s="9">
        <v>45656.583333333336</v>
      </c>
      <c r="D24" s="8">
        <v>24.6</v>
      </c>
      <c r="E24" s="8">
        <v>35</v>
      </c>
      <c r="F24" s="8">
        <v>2179.70000000048</v>
      </c>
      <c r="G24" s="8">
        <v>2500.0999999996802</v>
      </c>
      <c r="H24" s="8">
        <v>268.30000000400003</v>
      </c>
      <c r="I24" s="8">
        <v>288.89999999600002</v>
      </c>
      <c r="J24" s="8">
        <v>9.9999999707964998E-2</v>
      </c>
    </row>
    <row r="25" spans="2:10" x14ac:dyDescent="0.25">
      <c r="B25" s="8" t="s">
        <v>3</v>
      </c>
      <c r="C25" s="9">
        <v>45656.586111111108</v>
      </c>
      <c r="D25" s="8">
        <v>0</v>
      </c>
      <c r="E25" s="8">
        <v>35</v>
      </c>
      <c r="F25" s="8">
        <v>2180.7999999998101</v>
      </c>
      <c r="G25" s="8">
        <v>2500.7000000000999</v>
      </c>
      <c r="H25" s="8">
        <v>268.30000000400003</v>
      </c>
      <c r="I25" s="8">
        <v>289.00000000400001</v>
      </c>
      <c r="J25" s="8">
        <v>9.9999999707964998E-2</v>
      </c>
    </row>
    <row r="26" spans="2:10" x14ac:dyDescent="0.25">
      <c r="B26" s="8" t="s">
        <v>3</v>
      </c>
      <c r="C26" s="9">
        <v>45656.586134259262</v>
      </c>
      <c r="D26" s="8">
        <v>0</v>
      </c>
      <c r="E26" s="8">
        <v>0</v>
      </c>
      <c r="F26" s="8">
        <v>2180.7999999998101</v>
      </c>
      <c r="G26" s="8">
        <v>2500.7000000000999</v>
      </c>
      <c r="H26" s="8">
        <v>268.30000000400003</v>
      </c>
      <c r="I26" s="8">
        <v>289.00000000400001</v>
      </c>
      <c r="J26" s="8">
        <v>9.9999999707964998E-2</v>
      </c>
    </row>
    <row r="27" spans="2:10" x14ac:dyDescent="0.25">
      <c r="B27" s="8" t="s">
        <v>3</v>
      </c>
      <c r="C27" s="9">
        <v>45656.590277777781</v>
      </c>
      <c r="D27" s="8">
        <v>0</v>
      </c>
      <c r="E27" s="8">
        <v>0</v>
      </c>
      <c r="F27" s="8">
        <v>2180.7999999998101</v>
      </c>
      <c r="G27" s="8">
        <v>2500.7000000000999</v>
      </c>
      <c r="H27" s="8">
        <v>268.30000000400003</v>
      </c>
      <c r="I27" s="8">
        <v>289.00000000400001</v>
      </c>
      <c r="J27" s="8">
        <v>9.9999999707964998E-2</v>
      </c>
    </row>
    <row r="28" spans="2:10" x14ac:dyDescent="0.25">
      <c r="B28" s="8" t="s">
        <v>3</v>
      </c>
      <c r="C28" s="9">
        <v>45656.597222222219</v>
      </c>
      <c r="D28" s="8">
        <v>0</v>
      </c>
      <c r="E28" s="8">
        <v>0</v>
      </c>
      <c r="F28" s="8">
        <v>2180.7999999998101</v>
      </c>
      <c r="G28" s="8">
        <v>2500.7000000000999</v>
      </c>
      <c r="H28" s="8">
        <v>268.30000000400003</v>
      </c>
      <c r="I28" s="8">
        <v>289.00000000400001</v>
      </c>
      <c r="J28" s="8">
        <v>9.9999999707964998E-2</v>
      </c>
    </row>
    <row r="29" spans="2:10" x14ac:dyDescent="0.25">
      <c r="B29" s="8" t="s">
        <v>3</v>
      </c>
      <c r="C29" s="9">
        <v>45656.604166666664</v>
      </c>
      <c r="D29" s="8">
        <v>0</v>
      </c>
      <c r="E29" s="8">
        <v>0</v>
      </c>
      <c r="F29" s="8">
        <v>2180.7999999998101</v>
      </c>
      <c r="G29" s="8">
        <v>2500.7000000000999</v>
      </c>
      <c r="H29" s="8">
        <v>268.30000000400003</v>
      </c>
      <c r="I29" s="8">
        <v>289.00000000400001</v>
      </c>
      <c r="J29" s="8">
        <v>9.9999999707964998E-2</v>
      </c>
    </row>
    <row r="30" spans="2:10" x14ac:dyDescent="0.25">
      <c r="B30" s="8" t="s">
        <v>3</v>
      </c>
      <c r="C30" s="9">
        <v>45656.611111111109</v>
      </c>
      <c r="D30" s="8">
        <v>0</v>
      </c>
      <c r="E30" s="8">
        <v>0</v>
      </c>
      <c r="F30" s="8">
        <v>2180.7999999998101</v>
      </c>
      <c r="G30" s="8">
        <v>2500.7000000000999</v>
      </c>
      <c r="H30" s="8">
        <v>268.30000000400003</v>
      </c>
      <c r="I30" s="8">
        <v>289.00000000400001</v>
      </c>
      <c r="J30" s="8">
        <v>9.9999999707964998E-2</v>
      </c>
    </row>
    <row r="33" spans="2:10" ht="45" x14ac:dyDescent="0.25">
      <c r="B33" s="11" t="s">
        <v>46</v>
      </c>
      <c r="C33" s="11" t="s">
        <v>47</v>
      </c>
      <c r="D33" s="12" t="s">
        <v>48</v>
      </c>
      <c r="E33" s="12" t="s">
        <v>49</v>
      </c>
      <c r="F33" s="12" t="s">
        <v>50</v>
      </c>
      <c r="G33" s="12" t="s">
        <v>51</v>
      </c>
      <c r="H33" s="12" t="s">
        <v>52</v>
      </c>
      <c r="I33" s="12" t="s">
        <v>53</v>
      </c>
      <c r="J33" s="12" t="s">
        <v>54</v>
      </c>
    </row>
    <row r="34" spans="2:10" x14ac:dyDescent="0.25">
      <c r="B34" s="8" t="s">
        <v>3</v>
      </c>
      <c r="C34" s="9">
        <v>45707.201388888891</v>
      </c>
      <c r="D34" s="8">
        <v>43.4</v>
      </c>
      <c r="E34" s="8">
        <v>37</v>
      </c>
      <c r="F34" s="8">
        <v>2250.6999999999998</v>
      </c>
      <c r="G34" s="8">
        <v>2436.99999999995</v>
      </c>
      <c r="H34" s="8">
        <v>267.299999996</v>
      </c>
      <c r="I34" s="8">
        <v>540.89999999600002</v>
      </c>
      <c r="J34" s="8">
        <v>1.3999999999903701</v>
      </c>
    </row>
    <row r="35" spans="2:10" x14ac:dyDescent="0.25">
      <c r="B35" s="8" t="s">
        <v>3</v>
      </c>
      <c r="C35" s="9">
        <v>45707.208333333336</v>
      </c>
      <c r="D35" s="8">
        <v>43.4</v>
      </c>
      <c r="E35" s="8">
        <v>37</v>
      </c>
      <c r="F35" s="8">
        <v>2250.6999999999998</v>
      </c>
      <c r="G35" s="8">
        <v>2436.99999999995</v>
      </c>
      <c r="H35" s="8">
        <v>267.299999996</v>
      </c>
      <c r="I35" s="8">
        <v>540.89999999600002</v>
      </c>
      <c r="J35" s="8">
        <v>1.3999999999903701</v>
      </c>
    </row>
    <row r="36" spans="2:10" x14ac:dyDescent="0.25">
      <c r="B36" s="8" t="s">
        <v>3</v>
      </c>
      <c r="C36" s="9">
        <v>45707.215277777781</v>
      </c>
      <c r="D36" s="8">
        <v>43.3</v>
      </c>
      <c r="E36" s="8">
        <v>37</v>
      </c>
      <c r="F36" s="8">
        <v>2250.6999999999998</v>
      </c>
      <c r="G36" s="8">
        <v>2436.99999999995</v>
      </c>
      <c r="H36" s="8">
        <v>267.299999996</v>
      </c>
      <c r="I36" s="8">
        <v>540.89999999600002</v>
      </c>
      <c r="J36" s="8">
        <v>1.3999999999903701</v>
      </c>
    </row>
    <row r="37" spans="2:10" x14ac:dyDescent="0.25">
      <c r="B37" s="8" t="s">
        <v>3</v>
      </c>
      <c r="C37" s="9">
        <v>45707.222222222219</v>
      </c>
      <c r="D37" s="8">
        <v>43.4</v>
      </c>
      <c r="E37" s="8">
        <v>37</v>
      </c>
      <c r="F37" s="8">
        <v>2250.6999999999998</v>
      </c>
      <c r="G37" s="8">
        <v>2436.99999999995</v>
      </c>
      <c r="H37" s="8">
        <v>267.299999996</v>
      </c>
      <c r="I37" s="8">
        <v>540.89999999600002</v>
      </c>
      <c r="J37" s="8">
        <v>1.3999999999903701</v>
      </c>
    </row>
    <row r="38" spans="2:10" x14ac:dyDescent="0.25">
      <c r="B38" s="8" t="s">
        <v>3</v>
      </c>
      <c r="C38" s="9">
        <v>45707.227430555555</v>
      </c>
      <c r="D38" s="8">
        <v>0</v>
      </c>
      <c r="E38" s="8">
        <v>37</v>
      </c>
      <c r="F38" s="8">
        <v>2250.6999999999998</v>
      </c>
      <c r="G38" s="8">
        <v>2436.99999999995</v>
      </c>
      <c r="H38" s="8">
        <v>267.299999996</v>
      </c>
      <c r="I38" s="8">
        <v>540.89999999600002</v>
      </c>
      <c r="J38" s="8">
        <v>1.3999999999903701</v>
      </c>
    </row>
    <row r="39" spans="2:10" x14ac:dyDescent="0.25">
      <c r="B39" s="8" t="s">
        <v>3</v>
      </c>
      <c r="C39" s="9">
        <v>45707.227442129632</v>
      </c>
      <c r="D39" s="8">
        <v>0</v>
      </c>
      <c r="E39" s="8">
        <v>0</v>
      </c>
      <c r="F39" s="8">
        <v>2250.6999999999998</v>
      </c>
      <c r="G39" s="8">
        <v>2436.99999999995</v>
      </c>
      <c r="H39" s="8">
        <v>267.299999996</v>
      </c>
      <c r="I39" s="8">
        <v>540.89999999600002</v>
      </c>
      <c r="J39" s="8">
        <v>1.3999999999903701</v>
      </c>
    </row>
    <row r="40" spans="2:10" x14ac:dyDescent="0.25">
      <c r="B40" s="8" t="s">
        <v>3</v>
      </c>
      <c r="C40" s="9">
        <v>45707.229166666664</v>
      </c>
      <c r="D40" s="8">
        <v>0</v>
      </c>
      <c r="E40" s="8">
        <v>0</v>
      </c>
      <c r="F40" s="8">
        <v>2250.6999999999998</v>
      </c>
      <c r="G40" s="8">
        <v>2436.99999999995</v>
      </c>
      <c r="H40" s="8">
        <v>267.299999996</v>
      </c>
      <c r="I40" s="8">
        <v>540.89999999600002</v>
      </c>
      <c r="J40" s="8">
        <v>1.3999999999903701</v>
      </c>
    </row>
    <row r="41" spans="2:10" x14ac:dyDescent="0.25">
      <c r="B41" s="8" t="s">
        <v>3</v>
      </c>
      <c r="C41" s="9">
        <v>45707.236111111109</v>
      </c>
      <c r="D41" s="8">
        <v>0</v>
      </c>
      <c r="E41" s="8">
        <v>0</v>
      </c>
      <c r="F41" s="8">
        <v>2250.6999999999998</v>
      </c>
      <c r="G41" s="8">
        <v>2436.99999999995</v>
      </c>
      <c r="H41" s="8">
        <v>267.299999996</v>
      </c>
      <c r="I41" s="8">
        <v>540.89999999600002</v>
      </c>
      <c r="J41" s="8">
        <v>1.3999999999903701</v>
      </c>
    </row>
    <row r="42" spans="2:10" x14ac:dyDescent="0.25">
      <c r="B42" s="8" t="s">
        <v>3</v>
      </c>
      <c r="C42" s="9">
        <v>45707.237847222219</v>
      </c>
      <c r="D42" s="8">
        <v>0</v>
      </c>
      <c r="E42" s="8">
        <v>0</v>
      </c>
      <c r="F42" s="8">
        <v>2250.6999999999998</v>
      </c>
      <c r="G42" s="8">
        <v>2436.99999999995</v>
      </c>
      <c r="H42" s="8">
        <v>267.299999996</v>
      </c>
      <c r="I42" s="8">
        <v>540.89999999600002</v>
      </c>
      <c r="J42" s="8">
        <v>1.3999999999903701</v>
      </c>
    </row>
    <row r="46" spans="2:10" ht="45" x14ac:dyDescent="0.25">
      <c r="B46" s="11" t="s">
        <v>46</v>
      </c>
      <c r="C46" s="11" t="s">
        <v>47</v>
      </c>
      <c r="D46" s="12" t="s">
        <v>48</v>
      </c>
      <c r="E46" s="12" t="s">
        <v>49</v>
      </c>
      <c r="F46" s="12" t="s">
        <v>50</v>
      </c>
      <c r="G46" s="12" t="s">
        <v>51</v>
      </c>
      <c r="H46" s="12" t="s">
        <v>52</v>
      </c>
      <c r="I46" s="12" t="s">
        <v>53</v>
      </c>
      <c r="J46" s="12" t="s">
        <v>54</v>
      </c>
    </row>
    <row r="47" spans="2:10" x14ac:dyDescent="0.25">
      <c r="B47" s="8" t="s">
        <v>11</v>
      </c>
      <c r="C47" s="9">
        <v>45746.345833333333</v>
      </c>
      <c r="D47" s="8">
        <v>0</v>
      </c>
      <c r="E47" s="8">
        <v>0</v>
      </c>
      <c r="F47" s="8">
        <v>1443.0999999994999</v>
      </c>
      <c r="G47" s="8"/>
      <c r="H47" s="8">
        <v>261.69999999800001</v>
      </c>
      <c r="I47" s="8">
        <v>262.799999996</v>
      </c>
      <c r="J47" s="8">
        <v>0.200000000435646</v>
      </c>
    </row>
    <row r="48" spans="2:10" x14ac:dyDescent="0.25">
      <c r="B48" s="8" t="s">
        <v>11</v>
      </c>
      <c r="C48" s="9">
        <v>45746.34652777778</v>
      </c>
      <c r="D48" s="8">
        <v>0</v>
      </c>
      <c r="E48" s="8">
        <v>0</v>
      </c>
      <c r="F48" s="8">
        <v>1443.0999999994999</v>
      </c>
      <c r="G48" s="8"/>
      <c r="H48" s="8">
        <v>261.69999999800001</v>
      </c>
      <c r="I48" s="8">
        <v>262.59999999799999</v>
      </c>
      <c r="J48" s="8">
        <v>0.200000000435646</v>
      </c>
    </row>
    <row r="49" spans="2:10" x14ac:dyDescent="0.25">
      <c r="B49" s="8" t="s">
        <v>11</v>
      </c>
      <c r="C49" s="9">
        <v>45746.346898148149</v>
      </c>
      <c r="D49" s="8">
        <v>22.6</v>
      </c>
      <c r="E49" s="8">
        <v>0</v>
      </c>
      <c r="F49" s="8">
        <v>1443.5999999998501</v>
      </c>
      <c r="G49" s="8"/>
      <c r="H49" s="8">
        <v>261.69999999800001</v>
      </c>
      <c r="I49" s="8">
        <v>262.59999999799999</v>
      </c>
      <c r="J49" s="8">
        <v>0.200000000435646</v>
      </c>
    </row>
    <row r="50" spans="2:10" x14ac:dyDescent="0.25">
      <c r="B50" s="8" t="s">
        <v>11</v>
      </c>
      <c r="C50" s="9">
        <v>45746.347222222219</v>
      </c>
      <c r="D50" s="8">
        <v>22.6</v>
      </c>
      <c r="E50" s="8">
        <v>18.04</v>
      </c>
      <c r="F50" s="8">
        <v>1442.99999999943</v>
      </c>
      <c r="G50" s="8"/>
      <c r="H50" s="8">
        <v>261.69999999800001</v>
      </c>
      <c r="I50" s="8">
        <v>262.59999999799999</v>
      </c>
      <c r="J50" s="8">
        <v>0.200000000435646</v>
      </c>
    </row>
    <row r="51" spans="2:10" x14ac:dyDescent="0.25">
      <c r="B51" s="8" t="s">
        <v>11</v>
      </c>
      <c r="C51" s="9">
        <v>45746.347916666666</v>
      </c>
      <c r="D51" s="8">
        <v>22.9</v>
      </c>
      <c r="E51" s="8">
        <v>20</v>
      </c>
      <c r="F51" s="8">
        <v>1441.5999999998901</v>
      </c>
      <c r="G51" s="8"/>
      <c r="H51" s="8">
        <v>261.69999999800001</v>
      </c>
      <c r="I51" s="8">
        <v>261.89999999600002</v>
      </c>
      <c r="J51" s="8">
        <v>0.200000000435646</v>
      </c>
    </row>
    <row r="52" spans="2:10" x14ac:dyDescent="0.25">
      <c r="B52" s="8" t="s">
        <v>11</v>
      </c>
      <c r="C52" s="9">
        <v>45746.348611111112</v>
      </c>
      <c r="D52" s="8">
        <v>22.2</v>
      </c>
      <c r="E52" s="8">
        <v>20</v>
      </c>
      <c r="F52" s="8">
        <v>1440.7000000006999</v>
      </c>
      <c r="G52" s="8"/>
      <c r="H52" s="8">
        <v>261.69999999800001</v>
      </c>
      <c r="I52" s="8">
        <v>269.60000000000002</v>
      </c>
      <c r="J52" s="8">
        <v>0.79999999970315205</v>
      </c>
    </row>
    <row r="53" spans="2:10" x14ac:dyDescent="0.25">
      <c r="B53" s="8" t="s">
        <v>11</v>
      </c>
      <c r="C53" s="9">
        <v>45746.384027777778</v>
      </c>
      <c r="D53" s="8">
        <v>30.7</v>
      </c>
      <c r="E53" s="8">
        <v>49</v>
      </c>
      <c r="F53" s="8">
        <v>1323.70000000051</v>
      </c>
      <c r="G53" s="8"/>
      <c r="H53" s="8">
        <v>265.49999999599999</v>
      </c>
      <c r="I53" s="8">
        <v>338.70000000200002</v>
      </c>
      <c r="J53" s="8">
        <v>0.39999999985157603</v>
      </c>
    </row>
    <row r="54" spans="2:10" x14ac:dyDescent="0.25">
      <c r="B54" s="8" t="s">
        <v>11</v>
      </c>
      <c r="C54" s="9">
        <v>45746.384722222225</v>
      </c>
      <c r="D54" s="8">
        <v>30.6</v>
      </c>
      <c r="E54" s="8">
        <v>49</v>
      </c>
      <c r="F54" s="8">
        <v>1320.0999999994101</v>
      </c>
      <c r="G54" s="8"/>
      <c r="H54" s="8">
        <v>265.29999999799998</v>
      </c>
      <c r="I54" s="8">
        <v>338.70000000200002</v>
      </c>
      <c r="J54" s="8">
        <v>0.39999999985157603</v>
      </c>
    </row>
    <row r="55" spans="2:10" x14ac:dyDescent="0.25">
      <c r="B55" s="8" t="s">
        <v>11</v>
      </c>
      <c r="C55" s="9">
        <v>45746.384768518517</v>
      </c>
      <c r="D55" s="8">
        <v>0</v>
      </c>
      <c r="E55" s="8">
        <v>49</v>
      </c>
      <c r="F55" s="8">
        <v>1320.0999999994101</v>
      </c>
      <c r="G55" s="8"/>
      <c r="H55" s="8">
        <v>265.29999999799998</v>
      </c>
      <c r="I55" s="8">
        <v>338.70000000200002</v>
      </c>
      <c r="J55" s="8">
        <v>0.39999999985157603</v>
      </c>
    </row>
    <row r="56" spans="2:10" x14ac:dyDescent="0.25">
      <c r="B56" s="8" t="s">
        <v>11</v>
      </c>
      <c r="C56" s="9">
        <v>45746.384780092594</v>
      </c>
      <c r="D56" s="8">
        <v>0</v>
      </c>
      <c r="E56" s="8">
        <v>0</v>
      </c>
      <c r="F56" s="8">
        <v>1320.19999999948</v>
      </c>
      <c r="G56" s="8"/>
      <c r="H56" s="8">
        <v>265.29999999799998</v>
      </c>
      <c r="I56" s="8">
        <v>338.70000000200002</v>
      </c>
      <c r="J56" s="8">
        <v>0.39999999985157603</v>
      </c>
    </row>
    <row r="57" spans="2:10" x14ac:dyDescent="0.25">
      <c r="B57" s="8" t="s">
        <v>11</v>
      </c>
      <c r="C57" s="9">
        <v>45746.385416666664</v>
      </c>
      <c r="D57" s="8">
        <v>0</v>
      </c>
      <c r="E57" s="8">
        <v>0</v>
      </c>
      <c r="F57" s="8">
        <v>1320.19999999948</v>
      </c>
      <c r="G57" s="8"/>
      <c r="H57" s="8">
        <v>265.29999999799998</v>
      </c>
      <c r="I57" s="8">
        <v>339.8</v>
      </c>
      <c r="J57" s="8">
        <v>0.39999999985157603</v>
      </c>
    </row>
    <row r="58" spans="2:10" x14ac:dyDescent="0.25">
      <c r="B58" s="8" t="s">
        <v>11</v>
      </c>
      <c r="C58" s="9">
        <v>45746.386111111111</v>
      </c>
      <c r="D58" s="8">
        <v>0</v>
      </c>
      <c r="E58" s="8">
        <v>0</v>
      </c>
      <c r="F58" s="8">
        <v>1319.9999999993399</v>
      </c>
      <c r="G58" s="8"/>
      <c r="H58" s="8">
        <v>265.29999999799998</v>
      </c>
      <c r="I58" s="8">
        <v>333.89999999600002</v>
      </c>
      <c r="J58" s="8">
        <v>0.39999999985157603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FEDC1-CA71-4F80-A95E-BC64DB23B586}">
  <dimension ref="A2:B6"/>
  <sheetViews>
    <sheetView workbookViewId="0">
      <selection activeCell="B2" sqref="A2:B6"/>
    </sheetView>
  </sheetViews>
  <sheetFormatPr defaultRowHeight="15" x14ac:dyDescent="0.25"/>
  <cols>
    <col min="1" max="1" width="6" bestFit="1" customWidth="1"/>
    <col min="2" max="3" width="10" bestFit="1" customWidth="1"/>
  </cols>
  <sheetData>
    <row r="2" spans="1:2" x14ac:dyDescent="0.25">
      <c r="A2" s="55"/>
      <c r="B2" s="11" t="s">
        <v>85</v>
      </c>
    </row>
    <row r="3" spans="1:2" x14ac:dyDescent="0.25">
      <c r="A3" s="54" t="s">
        <v>86</v>
      </c>
      <c r="B3" s="8">
        <v>2.8000000000000001E-2</v>
      </c>
    </row>
    <row r="4" spans="1:2" x14ac:dyDescent="0.25">
      <c r="A4" s="54" t="s">
        <v>87</v>
      </c>
      <c r="B4" s="8">
        <v>3.4000000000000002E-2</v>
      </c>
    </row>
    <row r="5" spans="1:2" x14ac:dyDescent="0.25">
      <c r="A5" s="54" t="s">
        <v>88</v>
      </c>
      <c r="B5" s="8">
        <v>0.184</v>
      </c>
    </row>
    <row r="6" spans="1:2" x14ac:dyDescent="0.25">
      <c r="A6" s="54" t="s">
        <v>89</v>
      </c>
      <c r="B6" s="8">
        <v>0.96099999999999997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D387E8-B1B0-4799-9A3B-2DA095319BF3}">
  <ds:schemaRefs>
    <ds:schemaRef ds:uri="http://www.w3.org/2001/XMLSchema"/>
    <ds:schemaRef ds:uri="http://www.boozallen.com/argo/gui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Sheet6</vt:lpstr>
      <vt:lpstr>Sheet3</vt:lpstr>
      <vt:lpstr>Sheet4</vt:lpstr>
      <vt:lpstr>Sheet2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Azhar Nurzaman</dc:creator>
  <cp:lastModifiedBy>Azhar Nurzaman</cp:lastModifiedBy>
  <dcterms:created xsi:type="dcterms:W3CDTF">2015-06-05T18:17:20Z</dcterms:created>
  <dcterms:modified xsi:type="dcterms:W3CDTF">2025-09-17T22:41:09Z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2025-08-09T14:53:32Z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b1176a80-b7fb-4c09-bc1c-49a2f305b758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